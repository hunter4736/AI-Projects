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 1 Statements" sheetId="1" state="visible" r:id="rId3"/>
    <sheet name="Part 2 Cash flows" sheetId="2" state="visible" r:id="rId4"/>
    <sheet name="Part 3 Bonds no dates" sheetId="3" state="visible" r:id="rId5"/>
    <sheet name="Part 4 Bonds with d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<sst xmlns="http://schemas.openxmlformats.org/spreadsheetml/2006/main" count="340" uniqueCount="299">
  <si>
    <t xml:space="preserve">Mock midterm answer key (v2), Part 1: Pemberton Supply Co. ($ millions)</t>
  </si>
  <si>
    <t xml:space="preserve">Built the way you should build it on exam day: inputs first, then statements, then ratios, all by cell reference.</t>
  </si>
  <si>
    <t xml:space="preserve">Blue = numbers typed in from the exam.  Black = formulas.  Yellow = the answer to submit.  Column C shows the exact formula in that row's B cell.</t>
  </si>
  <si>
    <t xml:space="preserve">Inputs typed from the question</t>
  </si>
  <si>
    <t xml:space="preserve">Revenue 2025</t>
  </si>
  <si>
    <t xml:space="preserve">COGS 2025</t>
  </si>
  <si>
    <t xml:space="preserve">SG&amp;A 2025</t>
  </si>
  <si>
    <t xml:space="preserve">Depreciation 2025</t>
  </si>
  <si>
    <t xml:space="preserve">Interest expense 2025</t>
  </si>
  <si>
    <t xml:space="preserve">Tax rate</t>
  </si>
  <si>
    <t xml:space="preserve">Dividends 2025</t>
  </si>
  <si>
    <t xml:space="preserve">Cash 2024</t>
  </si>
  <si>
    <t xml:space="preserve">Accounts receivable 2024</t>
  </si>
  <si>
    <t xml:space="preserve">Inventory 2024</t>
  </si>
  <si>
    <t xml:space="preserve">Net PP&amp;E 2024</t>
  </si>
  <si>
    <t xml:space="preserve">Accounts payable 2024</t>
  </si>
  <si>
    <t xml:space="preserve">Short-term debt 2024</t>
  </si>
  <si>
    <t xml:space="preserve">Long-term debt 2024</t>
  </si>
  <si>
    <t xml:space="preserve">Equity 2024</t>
  </si>
  <si>
    <t xml:space="preserve">Accounts receivable 2025</t>
  </si>
  <si>
    <t xml:space="preserve">Inventory 2025</t>
  </si>
  <si>
    <t xml:space="preserve">Net PP&amp;E 2025</t>
  </si>
  <si>
    <t xml:space="preserve">Accounts payable 2025</t>
  </si>
  <si>
    <t xml:space="preserve">Short-term debt 2025</t>
  </si>
  <si>
    <t xml:space="preserve">Long-term debt 2025</t>
  </si>
  <si>
    <t xml:space="preserve">Shares outstanding (millions)</t>
  </si>
  <si>
    <t xml:space="preserve">Share price ($)</t>
  </si>
  <si>
    <t xml:space="preserve">1.A  2025 income statement</t>
  </si>
  <si>
    <t xml:space="preserve">Line</t>
  </si>
  <si>
    <t xml:space="preserve">Value</t>
  </si>
  <si>
    <t xml:space="preserve">Formula</t>
  </si>
  <si>
    <t xml:space="preserve">Note</t>
  </si>
  <si>
    <t xml:space="preserve">Gross profit</t>
  </si>
  <si>
    <t xml:space="preserve">=$B$7-$B$8</t>
  </si>
  <si>
    <t xml:space="preserve">EBITDA</t>
  </si>
  <si>
    <t xml:space="preserve">=$B$33-$B$9</t>
  </si>
  <si>
    <t xml:space="preserve">EBIT</t>
  </si>
  <si>
    <t xml:space="preserve">=$B$34-$B$10</t>
  </si>
  <si>
    <t xml:space="preserve">Profit before tax</t>
  </si>
  <si>
    <t xml:space="preserve">=$B$35-$B$11</t>
  </si>
  <si>
    <t xml:space="preserve">Taxes</t>
  </si>
  <si>
    <t xml:space="preserve">=$B$12*$B$36</t>
  </si>
  <si>
    <t xml:space="preserve">Net income</t>
  </si>
  <si>
    <t xml:space="preserve">=$B$36-$B$37</t>
  </si>
  <si>
    <t xml:space="preserve">Addition to retained earnings</t>
  </si>
  <si>
    <t xml:space="preserve">=$B$38-$B$13</t>
  </si>
  <si>
    <t xml:space="preserve">1.B / 1.C  2025 balance sheet</t>
  </si>
  <si>
    <t xml:space="preserve">1.B  Equity 2025</t>
  </si>
  <si>
    <t xml:space="preserve">=$B$21+$B$39</t>
  </si>
  <si>
    <t xml:space="preserve">No new shares, so equity grows only by retained earnings</t>
  </si>
  <si>
    <t xml:space="preserve">Total liabilities + equity 2025</t>
  </si>
  <si>
    <t xml:space="preserve">=$B$25+$B$26+$B$27+$B$43</t>
  </si>
  <si>
    <t xml:space="preserve">1.C  Cash 2025 (the plug)</t>
  </si>
  <si>
    <t xml:space="preserve">=$B$44-($B$22+$B$23+$B$24)</t>
  </si>
  <si>
    <t xml:space="preserve">Assets must equal liabilities + equity</t>
  </si>
  <si>
    <t xml:space="preserve">1.C  Total assets 2025</t>
  </si>
  <si>
    <t xml:space="preserve">=$B$45+$B$22+$B$23+$B$24</t>
  </si>
  <si>
    <t xml:space="preserve">   check: 2024 assets minus 2024 L+E (should be 0)</t>
  </si>
  <si>
    <t xml:space="preserve">=($B$14+$B$15+$B$16+$B$17)-($B$18+$B$19+$B$20+$B$21)</t>
  </si>
  <si>
    <t xml:space="preserve">1.D  2025 cash flows</t>
  </si>
  <si>
    <t xml:space="preserve">Change in AR</t>
  </si>
  <si>
    <t xml:space="preserve">=$B$22-$B$15</t>
  </si>
  <si>
    <t xml:space="preserve">Increase in an asset uses cash</t>
  </si>
  <si>
    <t xml:space="preserve">Change in inventory</t>
  </si>
  <si>
    <t xml:space="preserve">=$B$23-$B$16</t>
  </si>
  <si>
    <t xml:space="preserve">Change in AP</t>
  </si>
  <si>
    <t xml:space="preserve">=$B$25-$B$18</t>
  </si>
  <si>
    <t xml:space="preserve">Increase in a liability is a source of cash</t>
  </si>
  <si>
    <t xml:space="preserve">Change in operating NWC</t>
  </si>
  <si>
    <t xml:space="preserve">=$B$51+$B$52-$B$53</t>
  </si>
  <si>
    <t xml:space="preserve">1.D  Cash flow from operations</t>
  </si>
  <si>
    <t xml:space="preserve">=$B$38+$B$10-$B$54</t>
  </si>
  <si>
    <t xml:space="preserve">NI + depreciation - change in NWC</t>
  </si>
  <si>
    <t xml:space="preserve">1.D  Capital expenditures</t>
  </si>
  <si>
    <t xml:space="preserve">=$B$24-$B$17+$B$10</t>
  </si>
  <si>
    <t xml:space="preserve">Change in net PP&amp;E + depreciation</t>
  </si>
  <si>
    <t xml:space="preserve">Cash flow from investing</t>
  </si>
  <si>
    <t xml:space="preserve">=-$B$56</t>
  </si>
  <si>
    <t xml:space="preserve">Cash flow from financing</t>
  </si>
  <si>
    <t xml:space="preserve">=($B$26+$B$27)-($B$19+$B$20)-$B$13</t>
  </si>
  <si>
    <t xml:space="preserve">New borrowing - dividends</t>
  </si>
  <si>
    <t xml:space="preserve">   check: CFO + CFI + CFF = change in cash</t>
  </si>
  <si>
    <t xml:space="preserve">=$B$55+$B$57+$B$58-($B$45-$B$14)</t>
  </si>
  <si>
    <t xml:space="preserve">Must be 0</t>
  </si>
  <si>
    <t xml:space="preserve">1.D  Free cash flow</t>
  </si>
  <si>
    <t xml:space="preserve">=$B$35*(1-$B$12)+$B$10-$B$56-$B$54</t>
  </si>
  <si>
    <t xml:space="preserve">EBIT(1-t) + depreciation - capex - change in NWC</t>
  </si>
  <si>
    <t xml:space="preserve">1.D (cont.)  Cash flow from assets (textbook method, Essentials Ch. 2)</t>
  </si>
  <si>
    <t xml:space="preserve">Operating cash flow (OCF)</t>
  </si>
  <si>
    <t xml:space="preserve">=$B$35+$B$10-$B$37</t>
  </si>
  <si>
    <t xml:space="preserve">EBIT + depreciation - taxes</t>
  </si>
  <si>
    <t xml:space="preserve">Net capital spending</t>
  </si>
  <si>
    <t xml:space="preserve">Ending net fixed assets - beginning + depreciation</t>
  </si>
  <si>
    <t xml:space="preserve">   NWC 2024 (CA - CL, includes cash)</t>
  </si>
  <si>
    <t xml:space="preserve">=($B$14+$B$15+$B$16)-($B$18+$B$19)</t>
  </si>
  <si>
    <t xml:space="preserve">   NWC 2025</t>
  </si>
  <si>
    <t xml:space="preserve">=($B$45+$B$22+$B$23)-($B$25+$B$26)</t>
  </si>
  <si>
    <t xml:space="preserve">Change in NWC</t>
  </si>
  <si>
    <t xml:space="preserve">=$B$67-$B$66</t>
  </si>
  <si>
    <t xml:space="preserve">Textbook NWC includes cash, so this differs from the operating NWC above</t>
  </si>
  <si>
    <t xml:space="preserve">Cash flow from assets</t>
  </si>
  <si>
    <t xml:space="preserve">=$B$64-$B$65-$B$68</t>
  </si>
  <si>
    <t xml:space="preserve">OCF - net capital spending - change in NWC</t>
  </si>
  <si>
    <t xml:space="preserve">Cash flow to creditors</t>
  </si>
  <si>
    <t xml:space="preserve">=$B$11-($B$27-$B$20)</t>
  </si>
  <si>
    <t xml:space="preserve">Interest paid - net new long-term borrowing</t>
  </si>
  <si>
    <t xml:space="preserve">Cash flow to stockholders</t>
  </si>
  <si>
    <t xml:space="preserve">=$B$13-0</t>
  </si>
  <si>
    <t xml:space="preserve">Dividends - net new equity (none issued)</t>
  </si>
  <si>
    <t xml:space="preserve">   check: CF from assets = creditors + stockholders</t>
  </si>
  <si>
    <t xml:space="preserve">=$B$69-($B$70+$B$71)</t>
  </si>
  <si>
    <t xml:space="preserve">1.E to 1.H  Ratios and valuation</t>
  </si>
  <si>
    <t xml:space="preserve">Question</t>
  </si>
  <si>
    <t xml:space="preserve">Answer</t>
  </si>
  <si>
    <t xml:space="preserve">1.E  Gross margin</t>
  </si>
  <si>
    <t xml:space="preserve">=$B$33/$B$7</t>
  </si>
  <si>
    <t xml:space="preserve">1.E  ROE (end-of-year equity)</t>
  </si>
  <si>
    <t xml:space="preserve">=$B$38/$B$43</t>
  </si>
  <si>
    <t xml:space="preserve">1.E  Profit margin</t>
  </si>
  <si>
    <t xml:space="preserve">=$B$38/$B$7</t>
  </si>
  <si>
    <t xml:space="preserve">1.E  Asset turnover</t>
  </si>
  <si>
    <t xml:space="preserve">=$B$7/$B$46</t>
  </si>
  <si>
    <t xml:space="preserve">1.E  Equity multiplier</t>
  </si>
  <si>
    <t xml:space="preserve">=$B$46/$B$43</t>
  </si>
  <si>
    <t xml:space="preserve">   check: PM x ATO x EM</t>
  </si>
  <si>
    <t xml:space="preserve">=$B$78*$B$79*$B$80</t>
  </si>
  <si>
    <t xml:space="preserve">   Retention ratio b</t>
  </si>
  <si>
    <t xml:space="preserve">=$B$39/$B$38</t>
  </si>
  <si>
    <t xml:space="preserve">   ROA</t>
  </si>
  <si>
    <t xml:space="preserve">=$B$38/$B$46</t>
  </si>
  <si>
    <t xml:space="preserve">1.F  Sustainable growth = ROE*b/(1-ROE*b)</t>
  </si>
  <si>
    <t xml:space="preserve">=$B$77*$B$82/(1-$B$77*$B$82)</t>
  </si>
  <si>
    <t xml:space="preserve">Textbook formula</t>
  </si>
  <si>
    <t xml:space="preserve">   (simpler form ROE x b)</t>
  </si>
  <si>
    <t xml:space="preserve">=$B$77*$B$82</t>
  </si>
  <si>
    <t xml:space="preserve">Use only if your lecture used this form</t>
  </si>
  <si>
    <t xml:space="preserve">1.F  Internal growth = ROA*b/(1-ROA*b)</t>
  </si>
  <si>
    <t xml:space="preserve">=$B$83*$B$82/(1-$B$83*$B$82)</t>
  </si>
  <si>
    <t xml:space="preserve">   (simpler form ROA x b)</t>
  </si>
  <si>
    <t xml:space="preserve">=$B$83*$B$82</t>
  </si>
  <si>
    <t xml:space="preserve">1.G  Current ratio</t>
  </si>
  <si>
    <t xml:space="preserve">=($B$45+$B$22+$B$23)/($B$25+$B$26)</t>
  </si>
  <si>
    <t xml:space="preserve">1.G  Interest coverage (EBIT / interest)</t>
  </si>
  <si>
    <t xml:space="preserve">=$B$35/$B$11</t>
  </si>
  <si>
    <t xml:space="preserve">1.G  Book debt-to-equity</t>
  </si>
  <si>
    <t xml:space="preserve">=($B$26+$B$27)/$B$43</t>
  </si>
  <si>
    <t xml:space="preserve">Interest-bearing debt / equity</t>
  </si>
  <si>
    <t xml:space="preserve">   (textbook: total liabilities / equity)</t>
  </si>
  <si>
    <t xml:space="preserve">=($B$25+$B$26+$B$27)/$B$43</t>
  </si>
  <si>
    <t xml:space="preserve">The textbook counts all liabilities as debt</t>
  </si>
  <si>
    <t xml:space="preserve">1.H  Market capitalization</t>
  </si>
  <si>
    <t xml:space="preserve">=$B$28*$B$29</t>
  </si>
  <si>
    <t xml:space="preserve">1.H  Enterprise value</t>
  </si>
  <si>
    <t xml:space="preserve">=$B$92+$B$26+$B$27-$B$45</t>
  </si>
  <si>
    <t xml:space="preserve">Equity + debt - excess cash</t>
  </si>
  <si>
    <t xml:space="preserve">1.H  EV / EBITDA</t>
  </si>
  <si>
    <t xml:space="preserve">=$B$93/$B$34</t>
  </si>
  <si>
    <t xml:space="preserve">1.H  P/E</t>
  </si>
  <si>
    <t xml:space="preserve">=$B$92/$B$38</t>
  </si>
  <si>
    <t xml:space="preserve">Same as price / EPS</t>
  </si>
  <si>
    <t xml:space="preserve">Mock midterm answer key, Part 2: Corrigan Steel settlement ($ millions)</t>
  </si>
  <si>
    <t xml:space="preserve">Inputs</t>
  </si>
  <si>
    <t xml:space="preserve">Discount rate</t>
  </si>
  <si>
    <t xml:space="preserve">Annual payment (original)</t>
  </si>
  <si>
    <t xml:space="preserve">Number of payments</t>
  </si>
  <si>
    <t xml:space="preserve">First payment, growing plan</t>
  </si>
  <si>
    <t xml:space="preserve">Growth rate, growing plan</t>
  </si>
  <si>
    <t xml:space="preserve">Lump sum demanded</t>
  </si>
  <si>
    <t xml:space="preserve">Loan APR (monthly compounding)</t>
  </si>
  <si>
    <t xml:space="preserve">Loan term (years)</t>
  </si>
  <si>
    <t xml:space="preserve">Years of payments made</t>
  </si>
  <si>
    <t xml:space="preserve">Answers</t>
  </si>
  <si>
    <t xml:space="preserve">2.A  PV of original settlement</t>
  </si>
  <si>
    <t xml:space="preserve">=PV($B$6,$B$8,-$B$7)</t>
  </si>
  <si>
    <t xml:space="preserve">Ordinary annuity, first payment at t=1</t>
  </si>
  <si>
    <t xml:space="preserve">   same by formula C/r x (1 - 1/(1+r)^N)</t>
  </si>
  <si>
    <t xml:space="preserve">=$B$7/$B$6*(1-1/(1+$B$6)^$B$8)</t>
  </si>
  <si>
    <t xml:space="preserve">2.B  PV of growing plan</t>
  </si>
  <si>
    <t xml:space="preserve">=$B$9/($B$6-$B$10)*(1-((1+$B$10)/(1+$B$6))^$B$8)</t>
  </si>
  <si>
    <t xml:space="preserve">Growing annuity formula</t>
  </si>
  <si>
    <t xml:space="preserve">   plaintiff prefers</t>
  </si>
  <si>
    <t xml:space="preserve">=IF($B$20&gt;$B$18,"growing plan","original plan")</t>
  </si>
  <si>
    <t xml:space="preserve">Pick the higher PV</t>
  </si>
  <si>
    <t xml:space="preserve">2.C  Implied discount rate for the $90 lump sum</t>
  </si>
  <si>
    <t xml:space="preserve">=RATE($B$8,$B$7,-$B$11)</t>
  </si>
  <si>
    <t xml:space="preserve">Rate at which 15 x $10 is worth exactly $90 today</t>
  </si>
  <si>
    <t xml:space="preserve">   Corrigan prefers</t>
  </si>
  <si>
    <t xml:space="preserve">=IF($B$11&gt;$B$18,"keep paying annually","pay the lump sum")</t>
  </si>
  <si>
    <t xml:space="preserve">At 8%, the annual stream costs only 85.59, less than 90</t>
  </si>
  <si>
    <t xml:space="preserve">2.D  Equal-PV payment if first payment is today</t>
  </si>
  <si>
    <t xml:space="preserve">=PMT($B$6,$B$8,-$B$18,0,1)</t>
  </si>
  <si>
    <t xml:space="preserve">type=1 means an annuity due. Equals 10/1.08.</t>
  </si>
  <si>
    <t xml:space="preserve">   Monthly rate</t>
  </si>
  <si>
    <t xml:space="preserve">=$B$12/12</t>
  </si>
  <si>
    <t xml:space="preserve">2.E  Monthly loan payment</t>
  </si>
  <si>
    <t xml:space="preserve">=PMT($B$25,12*$B$13,-$B$11)</t>
  </si>
  <si>
    <t xml:space="preserve">2.E  Effective annual rate of the loan</t>
  </si>
  <si>
    <t xml:space="preserve">=(1+$B$25)^12-1</t>
  </si>
  <si>
    <t xml:space="preserve">Same as =EFFECT(7.2%,12)</t>
  </si>
  <si>
    <t xml:space="preserve">2.F  Loan balance after 3 years</t>
  </si>
  <si>
    <t xml:space="preserve">=PV($B$25,12*($B$13-$B$14),-$B$26)</t>
  </si>
  <si>
    <t xml:space="preserve">Balance = PV of the 84 payments still owed</t>
  </si>
  <si>
    <t xml:space="preserve">   same with FV of what's left</t>
  </si>
  <si>
    <t xml:space="preserve">=FV($B$25,12*$B$14,$B$26,-$B$11)</t>
  </si>
  <si>
    <t xml:space="preserve">Must agree</t>
  </si>
  <si>
    <t xml:space="preserve">Mock midterm answer key, Part 3: Brewster Corp. bonds (period-based functions)</t>
  </si>
  <si>
    <t xml:space="preserve">Coupon rate (annual, paid semiannually)</t>
  </si>
  <si>
    <t xml:space="preserve">Original maturity (years)</t>
  </si>
  <si>
    <t xml:space="preserve">Years elapsed</t>
  </si>
  <si>
    <t xml:space="preserve">Yield now (APR)</t>
  </si>
  <si>
    <t xml:space="preserve">Face outstanding ($ millions)</t>
  </si>
  <si>
    <t xml:space="preserve">New bond maturity (years from today)</t>
  </si>
  <si>
    <t xml:space="preserve">Yield for 3.F (APR)</t>
  </si>
  <si>
    <t xml:space="preserve">   Periods remaining</t>
  </si>
  <si>
    <t xml:space="preserve">=2*($B$7-$B$8)</t>
  </si>
  <si>
    <t xml:space="preserve">3.A  Price per 100 face</t>
  </si>
  <si>
    <t xml:space="preserve">=PV($B$9/2,$B$16,-$B$6*100/2,-100)</t>
  </si>
  <si>
    <t xml:space="preserve">Discount bond: coupon 5% &lt; yield 7%</t>
  </si>
  <si>
    <t xml:space="preserve">3.B  Effective annual yield</t>
  </si>
  <si>
    <t xml:space="preserve">=(1+$B$9/2)^2-1</t>
  </si>
  <si>
    <t xml:space="preserve">3.C  Market value of the debt</t>
  </si>
  <si>
    <t xml:space="preserve">=$B$10*$B$17/100</t>
  </si>
  <si>
    <t xml:space="preserve">3.D  Coupon rate on new 10-year bond (same face)</t>
  </si>
  <si>
    <t xml:space="preserve">=2*PMT($B$9/2,2*$B$11,-$B$17,100)/100</t>
  </si>
  <si>
    <t xml:space="preserve">New bond must be worth today's price: solve for the coupon</t>
  </si>
  <si>
    <t xml:space="preserve">3.E  Duration the 'dumb' way (cash-flow timeline)</t>
  </si>
  <si>
    <t xml:space="preserve">Period k</t>
  </si>
  <si>
    <t xml:space="preserve">Years (k/2)</t>
  </si>
  <si>
    <t xml:space="preserve">Cash flow</t>
  </si>
  <si>
    <t xml:space="preserve">PV of CF</t>
  </si>
  <si>
    <t xml:space="preserve">Years x PV</t>
  </si>
  <si>
    <t xml:space="preserve">   Sum of PVs (must equal 3.A)</t>
  </si>
  <si>
    <t xml:space="preserve">=SUM(D24:D39)</t>
  </si>
  <si>
    <t xml:space="preserve">3.E  Macaulay duration (years)</t>
  </si>
  <si>
    <t xml:space="preserve">=SUM(E24:E39)/SUM(D24:D39)</t>
  </si>
  <si>
    <t xml:space="preserve">3.E  Modified duration</t>
  </si>
  <si>
    <t xml:space="preserve">=$B$42/(1+$B$9/2)</t>
  </si>
  <si>
    <t xml:space="preserve">   check: DURATION with dummy dates</t>
  </si>
  <si>
    <t xml:space="preserve">=DURATION(DATE(2026,1,1),DATE(2026+$B$16/2,1,1),$B$6,$B$9,2)</t>
  </si>
  <si>
    <t xml:space="preserve">Any two dates exactly 8 years apart work</t>
  </si>
  <si>
    <t xml:space="preserve">3.F  Estimated % change, yield 7% to 7.5%</t>
  </si>
  <si>
    <t xml:space="preserve">=-$B$43*($B$12-$B$9)</t>
  </si>
  <si>
    <t xml:space="preserve">3.F  Actual new price</t>
  </si>
  <si>
    <t xml:space="preserve">=PV($B$12/2,$B$16,-$B$6*100/2,-100)</t>
  </si>
  <si>
    <t xml:space="preserve">3.F  Actual % change</t>
  </si>
  <si>
    <t xml:space="preserve">=$B$46/$B$17-1</t>
  </si>
  <si>
    <t xml:space="preserve">Slightly smaller drop than estimated (convexity)</t>
  </si>
  <si>
    <t xml:space="preserve">Mock midterm answer key, Part 4: Hollis Outdoor bond (date-based functions)</t>
  </si>
  <si>
    <t xml:space="preserve">Settlement</t>
  </si>
  <si>
    <t xml:space="preserve">Frequency</t>
  </si>
  <si>
    <t xml:space="preserve">Treasury maturity</t>
  </si>
  <si>
    <t xml:space="preserve">Treasury coupon</t>
  </si>
  <si>
    <t xml:space="preserve">Treasury clean price</t>
  </si>
  <si>
    <t xml:space="preserve">Treasury basis</t>
  </si>
  <si>
    <t xml:space="preserve">Hollis maturity</t>
  </si>
  <si>
    <t xml:space="preserve">Hollis coupon</t>
  </si>
  <si>
    <t xml:space="preserve">Hollis basis</t>
  </si>
  <si>
    <t xml:space="preserve">Spread</t>
  </si>
  <si>
    <t xml:space="preserve">150 bp</t>
  </si>
  <si>
    <t xml:space="preserve">Yield change for 4.G</t>
  </si>
  <si>
    <t xml:space="preserve">-50 bp</t>
  </si>
  <si>
    <t xml:space="preserve">Amount to raise in 4.H ($ millions)</t>
  </si>
  <si>
    <t xml:space="preserve">Coupon on new bonds in 4.H</t>
  </si>
  <si>
    <t xml:space="preserve">4.A  Treasury YTM</t>
  </si>
  <si>
    <t xml:space="preserve">=YIELD($B$6,$B$8,$B$9,$B$10,100,$B$7,$B$11)</t>
  </si>
  <si>
    <t xml:space="preserve">4.B  Hollis YTM</t>
  </si>
  <si>
    <t xml:space="preserve">=$B$22+$B$15</t>
  </si>
  <si>
    <t xml:space="preserve">4.C  Clean price</t>
  </si>
  <si>
    <t xml:space="preserve">=PRICE($B$6,$B$12,$B$13,$B$23,100,$B$7,$B$14)</t>
  </si>
  <si>
    <t xml:space="preserve">4.D  Days since last coupon</t>
  </si>
  <si>
    <t xml:space="preserve">=COUPDAYBS($B$6,$B$12,$B$7,$B$14)</t>
  </si>
  <si>
    <t xml:space="preserve">5/15/2026 to 10/13/2026 on 30/360</t>
  </si>
  <si>
    <t xml:space="preserve">4.D  Days in coupon period</t>
  </si>
  <si>
    <t xml:space="preserve">=COUPDAYS($B$6,$B$12,$B$7,$B$14)</t>
  </si>
  <si>
    <t xml:space="preserve">4.D  Accrued interest</t>
  </si>
  <si>
    <t xml:space="preserve">=$B$13*100/$B$7*$B$25/$B$26</t>
  </si>
  <si>
    <t xml:space="preserve">4.E  Dealer quote (clean)</t>
  </si>
  <si>
    <t xml:space="preserve">=$B$24</t>
  </si>
  <si>
    <t xml:space="preserve">4.E  Price a buyer pays (dirty)</t>
  </si>
  <si>
    <t xml:space="preserve">=$B$24+$B$27</t>
  </si>
  <si>
    <t xml:space="preserve">4.F  Macaulay duration</t>
  </si>
  <si>
    <t xml:space="preserve">=DURATION($B$6,$B$12,$B$13,$B$23,$B$7,$B$14)</t>
  </si>
  <si>
    <t xml:space="preserve">4.F  Modified duration</t>
  </si>
  <si>
    <t xml:space="preserve">=MDURATION($B$6,$B$12,$B$13,$B$23,$B$7,$B$14)</t>
  </si>
  <si>
    <t xml:space="preserve">4.G  Estimated % change in dirty price, -50bp</t>
  </si>
  <si>
    <t xml:space="preserve">=-$B$31*$B$16</t>
  </si>
  <si>
    <t xml:space="preserve">Yield falls, so price RISES</t>
  </si>
  <si>
    <t xml:space="preserve">4.G  Actual % change</t>
  </si>
  <si>
    <t xml:space="preserve">=(PRICE($B$6,$B$12,$B$13,$B$23+$B$16,100,$B$7,$B$14)+$B$27)/$B$29-1</t>
  </si>
  <si>
    <t xml:space="preserve">Actual rise is a bit LARGER than estimated (convexity)</t>
  </si>
  <si>
    <t xml:space="preserve">4.H  Coupon if new 10-yr bonds issued at par</t>
  </si>
  <si>
    <t xml:space="preserve">=$B$23</t>
  </si>
  <si>
    <t xml:space="preserve">A bond sells at par exactly when coupon = yield</t>
  </si>
  <si>
    <t xml:space="preserve">   Price of new 10-yr 5% bond at the Hollis yield</t>
  </si>
  <si>
    <t xml:space="preserve">=PV($B$23/2,20,-$B$18*100/2,-100)</t>
  </si>
  <si>
    <t xml:space="preserve">New issue: no accrued interest, whole periods</t>
  </si>
  <si>
    <t xml:space="preserve">4.H  Face value needed to raise $250m with 5% coupon</t>
  </si>
  <si>
    <t xml:space="preserve">=$B$17/($B$35/100)</t>
  </si>
  <si>
    <t xml:space="preserve">Discount bond, so face &gt; cash raised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</si>
</sst>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%"/>
    <numFmt numFmtId="167" formatCode="0.00"/>
    <numFmt numFmtId="168" formatCode="#,##0.00"/>
    <numFmt numFmtId="169" formatCode="0.00%"/>
    <numFmt numFmtId="170" formatCode="0.0000"/>
    <numFmt numFmtId="171" formatCode="0.00\x"/>
    <numFmt numFmtId="172" formatCode="0.0000%"/>
    <numFmt numFmtId="173" formatCode="0"/>
    <numFmt numFmtId="174" formatCode="m/d/yyyy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04040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5"/>
      <c r="C6" s="5"/>
      <c r="D6" s="5"/>
    </row>
    <row r="7" customFormat="false" ht="15" hidden="false" customHeight="false" outlineLevel="0" collapsed="false">
      <c r="A7" s="6" t="s">
        <v>4</v>
      </c>
      <c r="B7" s="7" t="n">
        <v>2400</v>
      </c>
    </row>
    <row r="8" customFormat="false" ht="15" hidden="false" customHeight="false" outlineLevel="0" collapsed="false">
      <c r="A8" s="6" t="s">
        <v>5</v>
      </c>
      <c r="B8" s="7" t="n">
        <v>1440</v>
      </c>
    </row>
    <row r="9" customFormat="false" ht="15" hidden="false" customHeight="false" outlineLevel="0" collapsed="false">
      <c r="A9" s="6" t="s">
        <v>6</v>
      </c>
      <c r="B9" s="7" t="n">
        <v>480</v>
      </c>
    </row>
    <row r="10" customFormat="false" ht="15" hidden="false" customHeight="false" outlineLevel="0" collapsed="false">
      <c r="A10" s="6" t="s">
        <v>7</v>
      </c>
      <c r="B10" s="7" t="n">
        <v>120</v>
      </c>
    </row>
    <row r="11" customFormat="false" ht="15" hidden="false" customHeight="false" outlineLevel="0" collapsed="false">
      <c r="A11" s="6" t="s">
        <v>8</v>
      </c>
      <c r="B11" s="7" t="n">
        <v>40</v>
      </c>
    </row>
    <row r="12" customFormat="false" ht="15" hidden="false" customHeight="false" outlineLevel="0" collapsed="false">
      <c r="A12" s="6" t="s">
        <v>9</v>
      </c>
      <c r="B12" s="8" t="n">
        <v>0.25</v>
      </c>
    </row>
    <row r="13" customFormat="false" ht="15" hidden="false" customHeight="false" outlineLevel="0" collapsed="false">
      <c r="A13" s="6" t="s">
        <v>10</v>
      </c>
      <c r="B13" s="7" t="n">
        <v>60</v>
      </c>
    </row>
    <row r="14" customFormat="false" ht="15" hidden="false" customHeight="false" outlineLevel="0" collapsed="false">
      <c r="A14" s="6" t="s">
        <v>11</v>
      </c>
      <c r="B14" s="7" t="n">
        <v>50</v>
      </c>
    </row>
    <row r="15" customFormat="false" ht="15" hidden="false" customHeight="false" outlineLevel="0" collapsed="false">
      <c r="A15" s="6" t="s">
        <v>12</v>
      </c>
      <c r="B15" s="7" t="n">
        <v>200</v>
      </c>
    </row>
    <row r="16" customFormat="false" ht="15" hidden="false" customHeight="false" outlineLevel="0" collapsed="false">
      <c r="A16" s="6" t="s">
        <v>13</v>
      </c>
      <c r="B16" s="7" t="n">
        <v>250</v>
      </c>
    </row>
    <row r="17" customFormat="false" ht="15" hidden="false" customHeight="false" outlineLevel="0" collapsed="false">
      <c r="A17" s="6" t="s">
        <v>14</v>
      </c>
      <c r="B17" s="7" t="n">
        <v>1000</v>
      </c>
    </row>
    <row r="18" customFormat="false" ht="15" hidden="false" customHeight="false" outlineLevel="0" collapsed="false">
      <c r="A18" s="6" t="s">
        <v>15</v>
      </c>
      <c r="B18" s="7" t="n">
        <v>150</v>
      </c>
    </row>
    <row r="19" customFormat="false" ht="15" hidden="false" customHeight="false" outlineLevel="0" collapsed="false">
      <c r="A19" s="6" t="s">
        <v>16</v>
      </c>
      <c r="B19" s="7" t="n">
        <v>100</v>
      </c>
    </row>
    <row r="20" customFormat="false" ht="15" hidden="false" customHeight="false" outlineLevel="0" collapsed="false">
      <c r="A20" s="6" t="s">
        <v>17</v>
      </c>
      <c r="B20" s="7" t="n">
        <v>400</v>
      </c>
    </row>
    <row r="21" customFormat="false" ht="15" hidden="false" customHeight="false" outlineLevel="0" collapsed="false">
      <c r="A21" s="6" t="s">
        <v>18</v>
      </c>
      <c r="B21" s="7" t="n">
        <v>850</v>
      </c>
    </row>
    <row r="22" customFormat="false" ht="15" hidden="false" customHeight="false" outlineLevel="0" collapsed="false">
      <c r="A22" s="6" t="s">
        <v>19</v>
      </c>
      <c r="B22" s="7" t="n">
        <v>230</v>
      </c>
    </row>
    <row r="23" customFormat="false" ht="15" hidden="false" customHeight="false" outlineLevel="0" collapsed="false">
      <c r="A23" s="6" t="s">
        <v>20</v>
      </c>
      <c r="B23" s="7" t="n">
        <v>280</v>
      </c>
    </row>
    <row r="24" customFormat="false" ht="15" hidden="false" customHeight="false" outlineLevel="0" collapsed="false">
      <c r="A24" s="6" t="s">
        <v>21</v>
      </c>
      <c r="B24" s="7" t="n">
        <v>1080</v>
      </c>
    </row>
    <row r="25" customFormat="false" ht="15" hidden="false" customHeight="false" outlineLevel="0" collapsed="false">
      <c r="A25" s="6" t="s">
        <v>22</v>
      </c>
      <c r="B25" s="7" t="n">
        <v>170</v>
      </c>
    </row>
    <row r="26" customFormat="false" ht="15" hidden="false" customHeight="false" outlineLevel="0" collapsed="false">
      <c r="A26" s="6" t="s">
        <v>23</v>
      </c>
      <c r="B26" s="7" t="n">
        <v>100</v>
      </c>
    </row>
    <row r="27" customFormat="false" ht="15" hidden="false" customHeight="false" outlineLevel="0" collapsed="false">
      <c r="A27" s="6" t="s">
        <v>24</v>
      </c>
      <c r="B27" s="7" t="n">
        <v>450</v>
      </c>
    </row>
    <row r="28" customFormat="false" ht="15" hidden="false" customHeight="false" outlineLevel="0" collapsed="false">
      <c r="A28" s="6" t="s">
        <v>25</v>
      </c>
      <c r="B28" s="7" t="n">
        <v>50</v>
      </c>
    </row>
    <row r="29" customFormat="false" ht="15" hidden="false" customHeight="false" outlineLevel="0" collapsed="false">
      <c r="A29" s="6" t="s">
        <v>26</v>
      </c>
      <c r="B29" s="9" t="n">
        <v>40</v>
      </c>
    </row>
    <row r="31" customFormat="false" ht="15" hidden="false" customHeight="false" outlineLevel="0" collapsed="false">
      <c r="A31" s="4" t="s">
        <v>27</v>
      </c>
      <c r="B31" s="5"/>
      <c r="C31" s="5"/>
      <c r="D31" s="5"/>
    </row>
    <row r="32" customFormat="false" ht="15" hidden="false" customHeight="false" outlineLevel="0" collapsed="false">
      <c r="A32" s="10" t="s">
        <v>28</v>
      </c>
      <c r="B32" s="10" t="s">
        <v>29</v>
      </c>
      <c r="C32" s="10" t="s">
        <v>30</v>
      </c>
      <c r="D32" s="10" t="s">
        <v>31</v>
      </c>
    </row>
    <row r="33" customFormat="false" ht="15" hidden="false" customHeight="false" outlineLevel="0" collapsed="false">
      <c r="A33" s="11" t="s">
        <v>32</v>
      </c>
      <c r="B33" s="12" t="n">
        <f aca="false">$B$7-$B$8</f>
        <v>960</v>
      </c>
      <c r="C33" s="13" t="s">
        <v>33</v>
      </c>
    </row>
    <row r="34" customFormat="false" ht="15" hidden="false" customHeight="false" outlineLevel="0" collapsed="false">
      <c r="A34" s="11" t="s">
        <v>34</v>
      </c>
      <c r="B34" s="12" t="n">
        <f aca="false">$B$33-$B$9</f>
        <v>480</v>
      </c>
      <c r="C34" s="13" t="s">
        <v>35</v>
      </c>
    </row>
    <row r="35" customFormat="false" ht="15" hidden="false" customHeight="false" outlineLevel="0" collapsed="false">
      <c r="A35" s="11" t="s">
        <v>36</v>
      </c>
      <c r="B35" s="12" t="n">
        <f aca="false">$B$34-$B$10</f>
        <v>360</v>
      </c>
      <c r="C35" s="13" t="s">
        <v>37</v>
      </c>
    </row>
    <row r="36" customFormat="false" ht="15" hidden="false" customHeight="false" outlineLevel="0" collapsed="false">
      <c r="A36" s="6" t="s">
        <v>38</v>
      </c>
      <c r="B36" s="14" t="n">
        <f aca="false">$B$35-$B$11</f>
        <v>320</v>
      </c>
      <c r="C36" s="13" t="s">
        <v>39</v>
      </c>
    </row>
    <row r="37" customFormat="false" ht="15" hidden="false" customHeight="false" outlineLevel="0" collapsed="false">
      <c r="A37" s="6" t="s">
        <v>40</v>
      </c>
      <c r="B37" s="14" t="n">
        <f aca="false">$B$12*$B$36</f>
        <v>80</v>
      </c>
      <c r="C37" s="13" t="s">
        <v>41</v>
      </c>
    </row>
    <row r="38" customFormat="false" ht="15" hidden="false" customHeight="false" outlineLevel="0" collapsed="false">
      <c r="A38" s="11" t="s">
        <v>42</v>
      </c>
      <c r="B38" s="12" t="n">
        <f aca="false">$B$36-$B$37</f>
        <v>240</v>
      </c>
      <c r="C38" s="13" t="s">
        <v>43</v>
      </c>
    </row>
    <row r="39" customFormat="false" ht="15" hidden="false" customHeight="false" outlineLevel="0" collapsed="false">
      <c r="A39" s="6" t="s">
        <v>44</v>
      </c>
      <c r="B39" s="14" t="n">
        <f aca="false">$B$38-$B$13</f>
        <v>180</v>
      </c>
      <c r="C39" s="13" t="s">
        <v>45</v>
      </c>
    </row>
    <row r="41" customFormat="false" ht="15" hidden="false" customHeight="false" outlineLevel="0" collapsed="false">
      <c r="A41" s="4" t="s">
        <v>46</v>
      </c>
      <c r="B41" s="5"/>
      <c r="C41" s="5"/>
      <c r="D41" s="5"/>
    </row>
    <row r="42" customFormat="false" ht="15" hidden="false" customHeight="false" outlineLevel="0" collapsed="false">
      <c r="A42" s="10" t="s">
        <v>28</v>
      </c>
      <c r="B42" s="10" t="s">
        <v>29</v>
      </c>
      <c r="C42" s="10" t="s">
        <v>30</v>
      </c>
      <c r="D42" s="10" t="s">
        <v>31</v>
      </c>
    </row>
    <row r="43" customFormat="false" ht="15" hidden="false" customHeight="false" outlineLevel="0" collapsed="false">
      <c r="A43" s="11" t="s">
        <v>47</v>
      </c>
      <c r="B43" s="12" t="n">
        <f aca="false">$B$21+$B$39</f>
        <v>1030</v>
      </c>
      <c r="C43" s="13" t="s">
        <v>48</v>
      </c>
      <c r="D43" s="3" t="s">
        <v>49</v>
      </c>
    </row>
    <row r="44" customFormat="false" ht="15" hidden="false" customHeight="false" outlineLevel="0" collapsed="false">
      <c r="A44" s="6" t="s">
        <v>50</v>
      </c>
      <c r="B44" s="14" t="n">
        <f aca="false">$B$25+$B$26+$B$27+$B$43</f>
        <v>1750</v>
      </c>
      <c r="C44" s="13" t="s">
        <v>51</v>
      </c>
    </row>
    <row r="45" customFormat="false" ht="15" hidden="false" customHeight="false" outlineLevel="0" collapsed="false">
      <c r="A45" s="11" t="s">
        <v>52</v>
      </c>
      <c r="B45" s="12" t="n">
        <f aca="false">$B$44-($B$22+$B$23+$B$24)</f>
        <v>160</v>
      </c>
      <c r="C45" s="13" t="s">
        <v>53</v>
      </c>
      <c r="D45" s="3" t="s">
        <v>54</v>
      </c>
    </row>
    <row r="46" customFormat="false" ht="15" hidden="false" customHeight="false" outlineLevel="0" collapsed="false">
      <c r="A46" s="11" t="s">
        <v>55</v>
      </c>
      <c r="B46" s="12" t="n">
        <f aca="false">$B$45+$B$22+$B$23+$B$24</f>
        <v>1750</v>
      </c>
      <c r="C46" s="13" t="s">
        <v>56</v>
      </c>
    </row>
    <row r="47" customFormat="false" ht="15" hidden="false" customHeight="false" outlineLevel="0" collapsed="false">
      <c r="A47" s="6" t="s">
        <v>57</v>
      </c>
      <c r="B47" s="14" t="n">
        <f aca="false">($B$14+$B$15+$B$16+$B$17)-($B$18+$B$19+$B$20+$B$21)</f>
        <v>0</v>
      </c>
      <c r="C47" s="13" t="s">
        <v>58</v>
      </c>
    </row>
    <row r="49" customFormat="false" ht="15" hidden="false" customHeight="false" outlineLevel="0" collapsed="false">
      <c r="A49" s="4" t="s">
        <v>59</v>
      </c>
      <c r="B49" s="5"/>
      <c r="C49" s="5"/>
      <c r="D49" s="5"/>
    </row>
    <row r="50" customFormat="false" ht="15" hidden="false" customHeight="false" outlineLevel="0" collapsed="false">
      <c r="A50" s="10" t="s">
        <v>28</v>
      </c>
      <c r="B50" s="10" t="s">
        <v>29</v>
      </c>
      <c r="C50" s="10" t="s">
        <v>30</v>
      </c>
      <c r="D50" s="10" t="s">
        <v>31</v>
      </c>
    </row>
    <row r="51" customFormat="false" ht="15" hidden="false" customHeight="false" outlineLevel="0" collapsed="false">
      <c r="A51" s="6" t="s">
        <v>60</v>
      </c>
      <c r="B51" s="14" t="n">
        <f aca="false">$B$22-$B$15</f>
        <v>30</v>
      </c>
      <c r="C51" s="13" t="s">
        <v>61</v>
      </c>
      <c r="D51" s="3" t="s">
        <v>62</v>
      </c>
    </row>
    <row r="52" customFormat="false" ht="15" hidden="false" customHeight="false" outlineLevel="0" collapsed="false">
      <c r="A52" s="6" t="s">
        <v>63</v>
      </c>
      <c r="B52" s="14" t="n">
        <f aca="false">$B$23-$B$16</f>
        <v>30</v>
      </c>
      <c r="C52" s="13" t="s">
        <v>64</v>
      </c>
    </row>
    <row r="53" customFormat="false" ht="15" hidden="false" customHeight="false" outlineLevel="0" collapsed="false">
      <c r="A53" s="6" t="s">
        <v>65</v>
      </c>
      <c r="B53" s="14" t="n">
        <f aca="false">$B$25-$B$18</f>
        <v>20</v>
      </c>
      <c r="C53" s="13" t="s">
        <v>66</v>
      </c>
      <c r="D53" s="3" t="s">
        <v>67</v>
      </c>
    </row>
    <row r="54" customFormat="false" ht="15" hidden="false" customHeight="false" outlineLevel="0" collapsed="false">
      <c r="A54" s="6" t="s">
        <v>68</v>
      </c>
      <c r="B54" s="14" t="n">
        <f aca="false">$B$51+$B$52-$B$53</f>
        <v>40</v>
      </c>
      <c r="C54" s="13" t="s">
        <v>69</v>
      </c>
    </row>
    <row r="55" customFormat="false" ht="15" hidden="false" customHeight="false" outlineLevel="0" collapsed="false">
      <c r="A55" s="11" t="s">
        <v>70</v>
      </c>
      <c r="B55" s="12" t="n">
        <f aca="false">$B$38+$B$10-$B$54</f>
        <v>320</v>
      </c>
      <c r="C55" s="13" t="s">
        <v>71</v>
      </c>
      <c r="D55" s="3" t="s">
        <v>72</v>
      </c>
    </row>
    <row r="56" customFormat="false" ht="15" hidden="false" customHeight="false" outlineLevel="0" collapsed="false">
      <c r="A56" s="11" t="s">
        <v>73</v>
      </c>
      <c r="B56" s="12" t="n">
        <f aca="false">$B$24-$B$17+$B$10</f>
        <v>200</v>
      </c>
      <c r="C56" s="13" t="s">
        <v>74</v>
      </c>
      <c r="D56" s="3" t="s">
        <v>75</v>
      </c>
    </row>
    <row r="57" customFormat="false" ht="15" hidden="false" customHeight="false" outlineLevel="0" collapsed="false">
      <c r="A57" s="6" t="s">
        <v>76</v>
      </c>
      <c r="B57" s="14" t="n">
        <f aca="false">-$B$56</f>
        <v>-200</v>
      </c>
      <c r="C57" s="13" t="s">
        <v>77</v>
      </c>
    </row>
    <row r="58" customFormat="false" ht="15" hidden="false" customHeight="false" outlineLevel="0" collapsed="false">
      <c r="A58" s="6" t="s">
        <v>78</v>
      </c>
      <c r="B58" s="14" t="n">
        <f aca="false">($B$26+$B$27)-($B$19+$B$20)-$B$13</f>
        <v>-10</v>
      </c>
      <c r="C58" s="13" t="s">
        <v>79</v>
      </c>
      <c r="D58" s="3" t="s">
        <v>80</v>
      </c>
    </row>
    <row r="59" customFormat="false" ht="15" hidden="false" customHeight="false" outlineLevel="0" collapsed="false">
      <c r="A59" s="6" t="s">
        <v>81</v>
      </c>
      <c r="B59" s="14" t="n">
        <f aca="false">$B$55+$B$57+$B$58-($B$45-$B$14)</f>
        <v>0</v>
      </c>
      <c r="C59" s="13" t="s">
        <v>82</v>
      </c>
      <c r="D59" s="3" t="s">
        <v>83</v>
      </c>
    </row>
    <row r="60" customFormat="false" ht="15" hidden="false" customHeight="false" outlineLevel="0" collapsed="false">
      <c r="A60" s="11" t="s">
        <v>84</v>
      </c>
      <c r="B60" s="12" t="n">
        <f aca="false">$B$35*(1-$B$12)+$B$10-$B$56-$B$54</f>
        <v>150</v>
      </c>
      <c r="C60" s="13" t="s">
        <v>85</v>
      </c>
      <c r="D60" s="3" t="s">
        <v>86</v>
      </c>
    </row>
    <row r="62" customFormat="false" ht="15" hidden="false" customHeight="false" outlineLevel="0" collapsed="false">
      <c r="A62" s="4" t="s">
        <v>87</v>
      </c>
      <c r="B62" s="5"/>
      <c r="C62" s="5"/>
      <c r="D62" s="5"/>
    </row>
    <row r="63" customFormat="false" ht="15" hidden="false" customHeight="false" outlineLevel="0" collapsed="false">
      <c r="A63" s="10" t="s">
        <v>28</v>
      </c>
      <c r="B63" s="10" t="s">
        <v>29</v>
      </c>
      <c r="C63" s="10" t="s">
        <v>30</v>
      </c>
      <c r="D63" s="10" t="s">
        <v>31</v>
      </c>
    </row>
    <row r="64" customFormat="false" ht="15" hidden="false" customHeight="false" outlineLevel="0" collapsed="false">
      <c r="A64" s="11" t="s">
        <v>88</v>
      </c>
      <c r="B64" s="12" t="n">
        <f aca="false">$B$35+$B$10-$B$37</f>
        <v>400</v>
      </c>
      <c r="C64" s="13" t="s">
        <v>89</v>
      </c>
      <c r="D64" s="3" t="s">
        <v>90</v>
      </c>
    </row>
    <row r="65" customFormat="false" ht="15" hidden="false" customHeight="false" outlineLevel="0" collapsed="false">
      <c r="A65" s="11" t="s">
        <v>91</v>
      </c>
      <c r="B65" s="12" t="n">
        <f aca="false">$B$24-$B$17+$B$10</f>
        <v>200</v>
      </c>
      <c r="C65" s="13" t="s">
        <v>74</v>
      </c>
      <c r="D65" s="3" t="s">
        <v>92</v>
      </c>
    </row>
    <row r="66" customFormat="false" ht="15" hidden="false" customHeight="false" outlineLevel="0" collapsed="false">
      <c r="A66" s="6" t="s">
        <v>93</v>
      </c>
      <c r="B66" s="14" t="n">
        <f aca="false">($B$14+$B$15+$B$16)-($B$18+$B$19)</f>
        <v>250</v>
      </c>
      <c r="C66" s="13" t="s">
        <v>94</v>
      </c>
    </row>
    <row r="67" customFormat="false" ht="15" hidden="false" customHeight="false" outlineLevel="0" collapsed="false">
      <c r="A67" s="6" t="s">
        <v>95</v>
      </c>
      <c r="B67" s="14" t="n">
        <f aca="false">($B$45+$B$22+$B$23)-($B$25+$B$26)</f>
        <v>400</v>
      </c>
      <c r="C67" s="13" t="s">
        <v>96</v>
      </c>
    </row>
    <row r="68" customFormat="false" ht="15" hidden="false" customHeight="false" outlineLevel="0" collapsed="false">
      <c r="A68" s="11" t="s">
        <v>97</v>
      </c>
      <c r="B68" s="12" t="n">
        <f aca="false">$B$67-$B$66</f>
        <v>150</v>
      </c>
      <c r="C68" s="13" t="s">
        <v>98</v>
      </c>
      <c r="D68" s="3" t="s">
        <v>99</v>
      </c>
    </row>
    <row r="69" customFormat="false" ht="15" hidden="false" customHeight="false" outlineLevel="0" collapsed="false">
      <c r="A69" s="11" t="s">
        <v>100</v>
      </c>
      <c r="B69" s="12" t="n">
        <f aca="false">$B$64-$B$65-$B$68</f>
        <v>50</v>
      </c>
      <c r="C69" s="13" t="s">
        <v>101</v>
      </c>
      <c r="D69" s="3" t="s">
        <v>102</v>
      </c>
    </row>
    <row r="70" customFormat="false" ht="15" hidden="false" customHeight="false" outlineLevel="0" collapsed="false">
      <c r="A70" s="11" t="s">
        <v>103</v>
      </c>
      <c r="B70" s="12" t="n">
        <f aca="false">$B$11-($B$27-$B$20)</f>
        <v>-10</v>
      </c>
      <c r="C70" s="13" t="s">
        <v>104</v>
      </c>
      <c r="D70" s="3" t="s">
        <v>105</v>
      </c>
    </row>
    <row r="71" customFormat="false" ht="15" hidden="false" customHeight="false" outlineLevel="0" collapsed="false">
      <c r="A71" s="11" t="s">
        <v>106</v>
      </c>
      <c r="B71" s="12" t="n">
        <f aca="false">$B$13-0</f>
        <v>60</v>
      </c>
      <c r="C71" s="13" t="s">
        <v>107</v>
      </c>
      <c r="D71" s="3" t="s">
        <v>108</v>
      </c>
    </row>
    <row r="72" customFormat="false" ht="15" hidden="false" customHeight="false" outlineLevel="0" collapsed="false">
      <c r="A72" s="6" t="s">
        <v>109</v>
      </c>
      <c r="B72" s="14" t="n">
        <f aca="false">$B$69-($B$70+$B$71)</f>
        <v>0</v>
      </c>
      <c r="C72" s="13" t="s">
        <v>110</v>
      </c>
      <c r="D72" s="3" t="s">
        <v>83</v>
      </c>
    </row>
    <row r="74" customFormat="false" ht="15" hidden="false" customHeight="false" outlineLevel="0" collapsed="false">
      <c r="A74" s="4" t="s">
        <v>111</v>
      </c>
      <c r="B74" s="5"/>
      <c r="C74" s="5"/>
      <c r="D74" s="5"/>
    </row>
    <row r="75" customFormat="false" ht="15" hidden="false" customHeight="false" outlineLevel="0" collapsed="false">
      <c r="A75" s="10" t="s">
        <v>112</v>
      </c>
      <c r="B75" s="10" t="s">
        <v>113</v>
      </c>
      <c r="C75" s="10" t="s">
        <v>30</v>
      </c>
      <c r="D75" s="10" t="s">
        <v>31</v>
      </c>
    </row>
    <row r="76" customFormat="false" ht="15" hidden="false" customHeight="false" outlineLevel="0" collapsed="false">
      <c r="A76" s="11" t="s">
        <v>114</v>
      </c>
      <c r="B76" s="15" t="n">
        <f aca="false">$B$33/$B$7</f>
        <v>0.4</v>
      </c>
      <c r="C76" s="13" t="s">
        <v>115</v>
      </c>
    </row>
    <row r="77" customFormat="false" ht="15" hidden="false" customHeight="false" outlineLevel="0" collapsed="false">
      <c r="A77" s="11" t="s">
        <v>116</v>
      </c>
      <c r="B77" s="15" t="n">
        <f aca="false">$B$38/$B$43</f>
        <v>0.233009708737864</v>
      </c>
      <c r="C77" s="13" t="s">
        <v>117</v>
      </c>
    </row>
    <row r="78" customFormat="false" ht="15" hidden="false" customHeight="false" outlineLevel="0" collapsed="false">
      <c r="A78" s="11" t="s">
        <v>118</v>
      </c>
      <c r="B78" s="15" t="n">
        <f aca="false">$B$38/$B$7</f>
        <v>0.1</v>
      </c>
      <c r="C78" s="13" t="s">
        <v>119</v>
      </c>
    </row>
    <row r="79" customFormat="false" ht="15" hidden="false" customHeight="false" outlineLevel="0" collapsed="false">
      <c r="A79" s="11" t="s">
        <v>120</v>
      </c>
      <c r="B79" s="16" t="n">
        <f aca="false">$B$7/$B$46</f>
        <v>1.37142857142857</v>
      </c>
      <c r="C79" s="13" t="s">
        <v>121</v>
      </c>
    </row>
    <row r="80" customFormat="false" ht="15" hidden="false" customHeight="false" outlineLevel="0" collapsed="false">
      <c r="A80" s="11" t="s">
        <v>122</v>
      </c>
      <c r="B80" s="16" t="n">
        <f aca="false">$B$46/$B$43</f>
        <v>1.69902912621359</v>
      </c>
      <c r="C80" s="13" t="s">
        <v>123</v>
      </c>
    </row>
    <row r="81" customFormat="false" ht="15" hidden="false" customHeight="false" outlineLevel="0" collapsed="false">
      <c r="A81" s="6" t="s">
        <v>124</v>
      </c>
      <c r="B81" s="17" t="n">
        <f aca="false">$B$78*$B$79*$B$80</f>
        <v>0.233009708737864</v>
      </c>
      <c r="C81" s="13" t="s">
        <v>125</v>
      </c>
    </row>
    <row r="82" customFormat="false" ht="15" hidden="false" customHeight="false" outlineLevel="0" collapsed="false">
      <c r="A82" s="6" t="s">
        <v>126</v>
      </c>
      <c r="B82" s="18" t="n">
        <f aca="false">$B$39/$B$38</f>
        <v>0.75</v>
      </c>
      <c r="C82" s="13" t="s">
        <v>127</v>
      </c>
    </row>
    <row r="83" customFormat="false" ht="15" hidden="false" customHeight="false" outlineLevel="0" collapsed="false">
      <c r="A83" s="6" t="s">
        <v>128</v>
      </c>
      <c r="B83" s="17" t="n">
        <f aca="false">$B$38/$B$46</f>
        <v>0.137142857142857</v>
      </c>
      <c r="C83" s="13" t="s">
        <v>129</v>
      </c>
    </row>
    <row r="84" customFormat="false" ht="15" hidden="false" customHeight="false" outlineLevel="0" collapsed="false">
      <c r="A84" s="11" t="s">
        <v>130</v>
      </c>
      <c r="B84" s="15" t="n">
        <f aca="false">$B$77*$B$82/(1-$B$77*$B$82)</f>
        <v>0.211764705882353</v>
      </c>
      <c r="C84" s="13" t="s">
        <v>131</v>
      </c>
      <c r="D84" s="3" t="s">
        <v>132</v>
      </c>
    </row>
    <row r="85" customFormat="false" ht="15" hidden="false" customHeight="false" outlineLevel="0" collapsed="false">
      <c r="A85" s="6" t="s">
        <v>133</v>
      </c>
      <c r="B85" s="17" t="n">
        <f aca="false">$B$77*$B$82</f>
        <v>0.174757281553398</v>
      </c>
      <c r="C85" s="13" t="s">
        <v>134</v>
      </c>
      <c r="D85" s="3" t="s">
        <v>135</v>
      </c>
    </row>
    <row r="86" customFormat="false" ht="15" hidden="false" customHeight="false" outlineLevel="0" collapsed="false">
      <c r="A86" s="11" t="s">
        <v>136</v>
      </c>
      <c r="B86" s="15" t="n">
        <f aca="false">$B$83*$B$82/(1-$B$83*$B$82)</f>
        <v>0.114649681528662</v>
      </c>
      <c r="C86" s="13" t="s">
        <v>137</v>
      </c>
      <c r="D86" s="3" t="s">
        <v>132</v>
      </c>
    </row>
    <row r="87" customFormat="false" ht="15" hidden="false" customHeight="false" outlineLevel="0" collapsed="false">
      <c r="A87" s="6" t="s">
        <v>138</v>
      </c>
      <c r="B87" s="17" t="n">
        <f aca="false">$B$83*$B$82</f>
        <v>0.102857142857143</v>
      </c>
      <c r="C87" s="13" t="s">
        <v>139</v>
      </c>
      <c r="D87" s="3" t="s">
        <v>135</v>
      </c>
    </row>
    <row r="88" customFormat="false" ht="15" hidden="false" customHeight="false" outlineLevel="0" collapsed="false">
      <c r="A88" s="11" t="s">
        <v>140</v>
      </c>
      <c r="B88" s="19" t="n">
        <f aca="false">($B$45+$B$22+$B$23)/($B$25+$B$26)</f>
        <v>2.48148148148148</v>
      </c>
      <c r="C88" s="13" t="s">
        <v>141</v>
      </c>
    </row>
    <row r="89" customFormat="false" ht="15" hidden="false" customHeight="false" outlineLevel="0" collapsed="false">
      <c r="A89" s="11" t="s">
        <v>142</v>
      </c>
      <c r="B89" s="20" t="n">
        <f aca="false">$B$35/$B$11</f>
        <v>9</v>
      </c>
      <c r="C89" s="13" t="s">
        <v>143</v>
      </c>
    </row>
    <row r="90" customFormat="false" ht="15" hidden="false" customHeight="false" outlineLevel="0" collapsed="false">
      <c r="A90" s="11" t="s">
        <v>144</v>
      </c>
      <c r="B90" s="16" t="n">
        <f aca="false">($B$26+$B$27)/$B$43</f>
        <v>0.533980582524272</v>
      </c>
      <c r="C90" s="13" t="s">
        <v>145</v>
      </c>
      <c r="D90" s="3" t="s">
        <v>146</v>
      </c>
    </row>
    <row r="91" customFormat="false" ht="15" hidden="false" customHeight="false" outlineLevel="0" collapsed="false">
      <c r="A91" s="6" t="s">
        <v>147</v>
      </c>
      <c r="B91" s="18" t="n">
        <f aca="false">($B$25+$B$26+$B$27)/$B$43</f>
        <v>0.699029126213592</v>
      </c>
      <c r="C91" s="13" t="s">
        <v>148</v>
      </c>
      <c r="D91" s="3" t="s">
        <v>149</v>
      </c>
    </row>
    <row r="92" customFormat="false" ht="15" hidden="false" customHeight="false" outlineLevel="0" collapsed="false">
      <c r="A92" s="11" t="s">
        <v>150</v>
      </c>
      <c r="B92" s="12" t="n">
        <f aca="false">$B$28*$B$29</f>
        <v>2000</v>
      </c>
      <c r="C92" s="13" t="s">
        <v>151</v>
      </c>
    </row>
    <row r="93" customFormat="false" ht="15" hidden="false" customHeight="false" outlineLevel="0" collapsed="false">
      <c r="A93" s="11" t="s">
        <v>152</v>
      </c>
      <c r="B93" s="12" t="n">
        <f aca="false">$B$92+$B$26+$B$27-$B$45</f>
        <v>2390</v>
      </c>
      <c r="C93" s="13" t="s">
        <v>153</v>
      </c>
      <c r="D93" s="3" t="s">
        <v>154</v>
      </c>
    </row>
    <row r="94" customFormat="false" ht="15" hidden="false" customHeight="false" outlineLevel="0" collapsed="false">
      <c r="A94" s="11" t="s">
        <v>155</v>
      </c>
      <c r="B94" s="20" t="n">
        <f aca="false">$B$93/$B$34</f>
        <v>4.97916666666667</v>
      </c>
      <c r="C94" s="13" t="s">
        <v>156</v>
      </c>
    </row>
    <row r="95" customFormat="false" ht="15" hidden="false" customHeight="false" outlineLevel="0" collapsed="false">
      <c r="A95" s="11" t="s">
        <v>157</v>
      </c>
      <c r="B95" s="20" t="n">
        <f aca="false">$B$92/$B$38</f>
        <v>8.33333333333333</v>
      </c>
      <c r="C95" s="13" t="s">
        <v>158</v>
      </c>
      <c r="D95" s="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161</v>
      </c>
      <c r="B5" s="5"/>
      <c r="C5" s="5"/>
      <c r="D5" s="5"/>
    </row>
    <row r="6" customFormat="false" ht="15" hidden="false" customHeight="false" outlineLevel="0" collapsed="false">
      <c r="A6" s="6" t="s">
        <v>162</v>
      </c>
      <c r="B6" s="21" t="n">
        <v>0.08</v>
      </c>
    </row>
    <row r="7" customFormat="false" ht="15" hidden="false" customHeight="false" outlineLevel="0" collapsed="false">
      <c r="A7" s="6" t="s">
        <v>163</v>
      </c>
      <c r="B7" s="22" t="n">
        <v>10</v>
      </c>
    </row>
    <row r="8" customFormat="false" ht="15" hidden="false" customHeight="false" outlineLevel="0" collapsed="false">
      <c r="A8" s="6" t="s">
        <v>164</v>
      </c>
      <c r="B8" s="22" t="n">
        <v>15</v>
      </c>
    </row>
    <row r="9" customFormat="false" ht="15" hidden="false" customHeight="false" outlineLevel="0" collapsed="false">
      <c r="A9" s="6" t="s">
        <v>165</v>
      </c>
      <c r="B9" s="22" t="n">
        <v>7</v>
      </c>
    </row>
    <row r="10" customFormat="false" ht="15" hidden="false" customHeight="false" outlineLevel="0" collapsed="false">
      <c r="A10" s="6" t="s">
        <v>166</v>
      </c>
      <c r="B10" s="21" t="n">
        <v>0.04</v>
      </c>
    </row>
    <row r="11" customFormat="false" ht="15" hidden="false" customHeight="false" outlineLevel="0" collapsed="false">
      <c r="A11" s="6" t="s">
        <v>167</v>
      </c>
      <c r="B11" s="22" t="n">
        <v>90</v>
      </c>
    </row>
    <row r="12" customFormat="false" ht="15" hidden="false" customHeight="false" outlineLevel="0" collapsed="false">
      <c r="A12" s="6" t="s">
        <v>168</v>
      </c>
      <c r="B12" s="21" t="n">
        <v>0.072</v>
      </c>
    </row>
    <row r="13" customFormat="false" ht="15" hidden="false" customHeight="false" outlineLevel="0" collapsed="false">
      <c r="A13" s="6" t="s">
        <v>169</v>
      </c>
      <c r="B13" s="22" t="n">
        <v>10</v>
      </c>
    </row>
    <row r="14" customFormat="false" ht="15" hidden="false" customHeight="false" outlineLevel="0" collapsed="false">
      <c r="A14" s="6" t="s">
        <v>170</v>
      </c>
      <c r="B14" s="22" t="n">
        <v>3</v>
      </c>
    </row>
    <row r="16" customFormat="false" ht="15" hidden="false" customHeight="false" outlineLevel="0" collapsed="false">
      <c r="A16" s="4" t="s">
        <v>171</v>
      </c>
      <c r="B16" s="5"/>
      <c r="C16" s="5"/>
      <c r="D16" s="5"/>
    </row>
    <row r="17" customFormat="false" ht="15" hidden="false" customHeight="false" outlineLevel="0" collapsed="false">
      <c r="A17" s="10" t="s">
        <v>112</v>
      </c>
      <c r="B17" s="10" t="s">
        <v>113</v>
      </c>
      <c r="C17" s="10" t="s">
        <v>30</v>
      </c>
      <c r="D17" s="10" t="s">
        <v>31</v>
      </c>
    </row>
    <row r="18" customFormat="false" ht="15" hidden="false" customHeight="false" outlineLevel="0" collapsed="false">
      <c r="A18" s="11" t="s">
        <v>172</v>
      </c>
      <c r="B18" s="16" t="n">
        <f aca="false">PV($B$6,$B$8,-$B$7)</f>
        <v>85.5947868792638</v>
      </c>
      <c r="C18" s="13" t="s">
        <v>173</v>
      </c>
      <c r="D18" s="3" t="s">
        <v>174</v>
      </c>
    </row>
    <row r="19" customFormat="false" ht="15" hidden="false" customHeight="false" outlineLevel="0" collapsed="false">
      <c r="A19" s="6" t="s">
        <v>175</v>
      </c>
      <c r="B19" s="18" t="n">
        <f aca="false">$B$7/$B$6*(1-1/(1+$B$6)^$B$8)</f>
        <v>85.5947868792638</v>
      </c>
      <c r="C19" s="13" t="s">
        <v>176</v>
      </c>
    </row>
    <row r="20" customFormat="false" ht="15" hidden="false" customHeight="false" outlineLevel="0" collapsed="false">
      <c r="A20" s="11" t="s">
        <v>177</v>
      </c>
      <c r="B20" s="16" t="n">
        <f aca="false">$B$9/($B$6-$B$10)*(1-((1+$B$10)/(1+$B$6))^$B$8)</f>
        <v>75.6468122859318</v>
      </c>
      <c r="C20" s="13" t="s">
        <v>178</v>
      </c>
      <c r="D20" s="3" t="s">
        <v>179</v>
      </c>
    </row>
    <row r="21" customFormat="false" ht="15" hidden="false" customHeight="false" outlineLevel="0" collapsed="false">
      <c r="A21" s="6" t="s">
        <v>180</v>
      </c>
      <c r="B21" s="6" t="str">
        <f aca="false">IF($B$20&gt;$B$18,"growing plan","original plan")</f>
        <v>original plan</v>
      </c>
      <c r="C21" s="13" t="s">
        <v>181</v>
      </c>
      <c r="D21" s="3" t="s">
        <v>182</v>
      </c>
    </row>
    <row r="22" customFormat="false" ht="15" hidden="false" customHeight="false" outlineLevel="0" collapsed="false">
      <c r="A22" s="11" t="s">
        <v>183</v>
      </c>
      <c r="B22" s="23" t="n">
        <f aca="false">RATE($B$8,$B$7,-$B$11)</f>
        <v>0.0718931408231337</v>
      </c>
      <c r="C22" s="13" t="s">
        <v>184</v>
      </c>
      <c r="D22" s="3" t="s">
        <v>185</v>
      </c>
    </row>
    <row r="23" customFormat="false" ht="15" hidden="false" customHeight="false" outlineLevel="0" collapsed="false">
      <c r="A23" s="6" t="s">
        <v>186</v>
      </c>
      <c r="B23" s="6" t="str">
        <f aca="false">IF($B$11&gt;$B$18,"keep paying annually","pay the lump sum")</f>
        <v>keep paying annually</v>
      </c>
      <c r="C23" s="13" t="s">
        <v>187</v>
      </c>
      <c r="D23" s="3" t="s">
        <v>188</v>
      </c>
    </row>
    <row r="24" customFormat="false" ht="15" hidden="false" customHeight="false" outlineLevel="0" collapsed="false">
      <c r="A24" s="11" t="s">
        <v>189</v>
      </c>
      <c r="B24" s="16" t="n">
        <f aca="false">PMT($B$6,$B$8,-$B$18,0,1)</f>
        <v>9.25925925925927</v>
      </c>
      <c r="C24" s="13" t="s">
        <v>190</v>
      </c>
      <c r="D24" s="3" t="s">
        <v>191</v>
      </c>
    </row>
    <row r="25" customFormat="false" ht="15" hidden="false" customHeight="false" outlineLevel="0" collapsed="false">
      <c r="A25" s="6" t="s">
        <v>192</v>
      </c>
      <c r="B25" s="24" t="n">
        <f aca="false">$B$12/12</f>
        <v>0.006</v>
      </c>
      <c r="C25" s="13" t="s">
        <v>193</v>
      </c>
    </row>
    <row r="26" customFormat="false" ht="15" hidden="false" customHeight="false" outlineLevel="0" collapsed="false">
      <c r="A26" s="11" t="s">
        <v>194</v>
      </c>
      <c r="B26" s="16" t="n">
        <f aca="false">PMT($B$25,12*$B$13,-$B$11)</f>
        <v>1.05427687029182</v>
      </c>
      <c r="C26" s="13" t="s">
        <v>195</v>
      </c>
    </row>
    <row r="27" customFormat="false" ht="15" hidden="false" customHeight="false" outlineLevel="0" collapsed="false">
      <c r="A27" s="11" t="s">
        <v>196</v>
      </c>
      <c r="B27" s="23" t="n">
        <f aca="false">(1+$B$25)^12-1</f>
        <v>0.0744241677219248</v>
      </c>
      <c r="C27" s="13" t="s">
        <v>197</v>
      </c>
      <c r="D27" s="3" t="s">
        <v>198</v>
      </c>
    </row>
    <row r="28" customFormat="false" ht="15" hidden="false" customHeight="false" outlineLevel="0" collapsed="false">
      <c r="A28" s="11" t="s">
        <v>199</v>
      </c>
      <c r="B28" s="16" t="n">
        <f aca="false">PV($B$25,12*($B$13-$B$14),-$B$26)</f>
        <v>69.4030737213581</v>
      </c>
      <c r="C28" s="13" t="s">
        <v>200</v>
      </c>
      <c r="D28" s="3" t="s">
        <v>201</v>
      </c>
    </row>
    <row r="29" customFormat="false" ht="15" hidden="false" customHeight="false" outlineLevel="0" collapsed="false">
      <c r="A29" s="6" t="s">
        <v>202</v>
      </c>
      <c r="B29" s="18" t="n">
        <f aca="false">FV($B$25,12*$B$14,$B$26,-$B$11)</f>
        <v>69.403073721358</v>
      </c>
      <c r="C29" s="13" t="s">
        <v>203</v>
      </c>
      <c r="D29" s="3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205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161</v>
      </c>
      <c r="B5" s="5"/>
      <c r="C5" s="5"/>
      <c r="D5" s="5"/>
    </row>
    <row r="6" customFormat="false" ht="15" hidden="false" customHeight="false" outlineLevel="0" collapsed="false">
      <c r="A6" s="6" t="s">
        <v>206</v>
      </c>
      <c r="B6" s="21" t="n">
        <v>0.05</v>
      </c>
    </row>
    <row r="7" customFormat="false" ht="15" hidden="false" customHeight="false" outlineLevel="0" collapsed="false">
      <c r="A7" s="6" t="s">
        <v>207</v>
      </c>
      <c r="B7" s="22" t="n">
        <v>10</v>
      </c>
    </row>
    <row r="8" customFormat="false" ht="15" hidden="false" customHeight="false" outlineLevel="0" collapsed="false">
      <c r="A8" s="6" t="s">
        <v>208</v>
      </c>
      <c r="B8" s="22" t="n">
        <v>2</v>
      </c>
    </row>
    <row r="9" customFormat="false" ht="15" hidden="false" customHeight="false" outlineLevel="0" collapsed="false">
      <c r="A9" s="6" t="s">
        <v>209</v>
      </c>
      <c r="B9" s="21" t="n">
        <v>0.07</v>
      </c>
    </row>
    <row r="10" customFormat="false" ht="15" hidden="false" customHeight="false" outlineLevel="0" collapsed="false">
      <c r="A10" s="6" t="s">
        <v>210</v>
      </c>
      <c r="B10" s="22" t="n">
        <v>400</v>
      </c>
    </row>
    <row r="11" customFormat="false" ht="15" hidden="false" customHeight="false" outlineLevel="0" collapsed="false">
      <c r="A11" s="6" t="s">
        <v>211</v>
      </c>
      <c r="B11" s="22" t="n">
        <v>10</v>
      </c>
    </row>
    <row r="12" customFormat="false" ht="15" hidden="false" customHeight="false" outlineLevel="0" collapsed="false">
      <c r="A12" s="6" t="s">
        <v>212</v>
      </c>
      <c r="B12" s="21" t="n">
        <v>0.075</v>
      </c>
    </row>
    <row r="14" customFormat="false" ht="15" hidden="false" customHeight="false" outlineLevel="0" collapsed="false">
      <c r="A14" s="4" t="s">
        <v>171</v>
      </c>
      <c r="B14" s="5"/>
      <c r="C14" s="5"/>
      <c r="D14" s="5"/>
    </row>
    <row r="15" customFormat="false" ht="15" hidden="false" customHeight="false" outlineLevel="0" collapsed="false">
      <c r="A15" s="10" t="s">
        <v>112</v>
      </c>
      <c r="B15" s="10" t="s">
        <v>113</v>
      </c>
      <c r="C15" s="10" t="s">
        <v>30</v>
      </c>
      <c r="D15" s="10" t="s">
        <v>31</v>
      </c>
    </row>
    <row r="16" customFormat="false" ht="15" hidden="false" customHeight="false" outlineLevel="0" collapsed="false">
      <c r="A16" s="6" t="s">
        <v>213</v>
      </c>
      <c r="B16" s="25" t="n">
        <f aca="false">2*($B$7-$B$8)</f>
        <v>16</v>
      </c>
      <c r="C16" s="13" t="s">
        <v>214</v>
      </c>
    </row>
    <row r="17" customFormat="false" ht="15" hidden="false" customHeight="false" outlineLevel="0" collapsed="false">
      <c r="A17" s="11" t="s">
        <v>215</v>
      </c>
      <c r="B17" s="16" t="n">
        <f aca="false">PV($B$9/2,$B$16,-$B$6*100/2,-100)</f>
        <v>87.9058831918511</v>
      </c>
      <c r="C17" s="13" t="s">
        <v>216</v>
      </c>
      <c r="D17" s="3" t="s">
        <v>217</v>
      </c>
    </row>
    <row r="18" customFormat="false" ht="15" hidden="false" customHeight="false" outlineLevel="0" collapsed="false">
      <c r="A18" s="11" t="s">
        <v>218</v>
      </c>
      <c r="B18" s="23" t="n">
        <f aca="false">(1+$B$9/2)^2-1</f>
        <v>0.0712249999999999</v>
      </c>
      <c r="C18" s="13" t="s">
        <v>219</v>
      </c>
    </row>
    <row r="19" customFormat="false" ht="15" hidden="false" customHeight="false" outlineLevel="0" collapsed="false">
      <c r="A19" s="11" t="s">
        <v>220</v>
      </c>
      <c r="B19" s="16" t="n">
        <f aca="false">$B$10*$B$17/100</f>
        <v>351.623532767404</v>
      </c>
      <c r="C19" s="13" t="s">
        <v>221</v>
      </c>
    </row>
    <row r="20" customFormat="false" ht="15" hidden="false" customHeight="false" outlineLevel="0" collapsed="false">
      <c r="A20" s="11" t="s">
        <v>222</v>
      </c>
      <c r="B20" s="23" t="n">
        <f aca="false">2*PMT($B$9/2,2*$B$11,-$B$17,100)/100</f>
        <v>0.0529808983727789</v>
      </c>
      <c r="C20" s="13" t="s">
        <v>223</v>
      </c>
      <c r="D20" s="3" t="s">
        <v>224</v>
      </c>
    </row>
    <row r="22" customFormat="false" ht="15" hidden="false" customHeight="false" outlineLevel="0" collapsed="false">
      <c r="A22" s="4" t="s">
        <v>225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10" t="s">
        <v>226</v>
      </c>
      <c r="B23" s="10" t="s">
        <v>227</v>
      </c>
      <c r="C23" s="10" t="s">
        <v>228</v>
      </c>
      <c r="D23" s="10" t="s">
        <v>229</v>
      </c>
      <c r="E23" s="10" t="s">
        <v>230</v>
      </c>
    </row>
    <row r="24" customFormat="false" ht="15" hidden="false" customHeight="false" outlineLevel="0" collapsed="false">
      <c r="A24" s="0" t="n">
        <v>1</v>
      </c>
      <c r="B24" s="26" t="n">
        <f aca="false">A24/2</f>
        <v>0.5</v>
      </c>
      <c r="C24" s="26" t="n">
        <f aca="false">$B$6*100/2+IF(A24=$B$16,100,0)</f>
        <v>2.5</v>
      </c>
      <c r="D24" s="27" t="n">
        <f aca="false">C24/(1+$B$9/2)^A24</f>
        <v>2.41545893719807</v>
      </c>
      <c r="E24" s="27" t="n">
        <f aca="false">B24*D24</f>
        <v>1.20772946859903</v>
      </c>
    </row>
    <row r="25" customFormat="false" ht="15" hidden="false" customHeight="false" outlineLevel="0" collapsed="false">
      <c r="A25" s="0" t="n">
        <v>2</v>
      </c>
      <c r="B25" s="26" t="n">
        <f aca="false">A25/2</f>
        <v>1</v>
      </c>
      <c r="C25" s="26" t="n">
        <f aca="false">$B$6*100/2+IF(A25=$B$16,100,0)</f>
        <v>2.5</v>
      </c>
      <c r="D25" s="27" t="n">
        <f aca="false">C25/(1+$B$9/2)^A25</f>
        <v>2.33377675091601</v>
      </c>
      <c r="E25" s="27" t="n">
        <f aca="false">B25*D25</f>
        <v>2.33377675091601</v>
      </c>
    </row>
    <row r="26" customFormat="false" ht="15" hidden="false" customHeight="false" outlineLevel="0" collapsed="false">
      <c r="A26" s="0" t="n">
        <v>3</v>
      </c>
      <c r="B26" s="26" t="n">
        <f aca="false">A26/2</f>
        <v>1.5</v>
      </c>
      <c r="C26" s="26" t="n">
        <f aca="false">$B$6*100/2+IF(A26=$B$16,100,0)</f>
        <v>2.5</v>
      </c>
      <c r="D26" s="27" t="n">
        <f aca="false">C26/(1+$B$9/2)^A26</f>
        <v>2.25485676417006</v>
      </c>
      <c r="E26" s="27" t="n">
        <f aca="false">B26*D26</f>
        <v>3.38228514625508</v>
      </c>
    </row>
    <row r="27" customFormat="false" ht="15" hidden="false" customHeight="false" outlineLevel="0" collapsed="false">
      <c r="A27" s="0" t="n">
        <v>4</v>
      </c>
      <c r="B27" s="26" t="n">
        <f aca="false">A27/2</f>
        <v>2</v>
      </c>
      <c r="C27" s="26" t="n">
        <f aca="false">$B$6*100/2+IF(A27=$B$16,100,0)</f>
        <v>2.5</v>
      </c>
      <c r="D27" s="27" t="n">
        <f aca="false">C27/(1+$B$9/2)^A27</f>
        <v>2.17860556924643</v>
      </c>
      <c r="E27" s="27" t="n">
        <f aca="false">B27*D27</f>
        <v>4.35721113849286</v>
      </c>
    </row>
    <row r="28" customFormat="false" ht="15" hidden="false" customHeight="false" outlineLevel="0" collapsed="false">
      <c r="A28" s="0" t="n">
        <v>5</v>
      </c>
      <c r="B28" s="26" t="n">
        <f aca="false">A28/2</f>
        <v>2.5</v>
      </c>
      <c r="C28" s="26" t="n">
        <f aca="false">$B$6*100/2+IF(A28=$B$16,100,0)</f>
        <v>2.5</v>
      </c>
      <c r="D28" s="27" t="n">
        <f aca="false">C28/(1+$B$9/2)^A28</f>
        <v>2.10493291714631</v>
      </c>
      <c r="E28" s="27" t="n">
        <f aca="false">B28*D28</f>
        <v>5.26233229286578</v>
      </c>
    </row>
    <row r="29" customFormat="false" ht="15" hidden="false" customHeight="false" outlineLevel="0" collapsed="false">
      <c r="A29" s="0" t="n">
        <v>6</v>
      </c>
      <c r="B29" s="26" t="n">
        <f aca="false">A29/2</f>
        <v>3</v>
      </c>
      <c r="C29" s="26" t="n">
        <f aca="false">$B$6*100/2+IF(A29=$B$16,100,0)</f>
        <v>2.5</v>
      </c>
      <c r="D29" s="27" t="n">
        <f aca="false">C29/(1+$B$9/2)^A29</f>
        <v>2.03375161076938</v>
      </c>
      <c r="E29" s="27" t="n">
        <f aca="false">B29*D29</f>
        <v>6.10125483230815</v>
      </c>
    </row>
    <row r="30" customFormat="false" ht="15" hidden="false" customHeight="false" outlineLevel="0" collapsed="false">
      <c r="A30" s="0" t="n">
        <v>7</v>
      </c>
      <c r="B30" s="26" t="n">
        <f aca="false">A30/2</f>
        <v>3.5</v>
      </c>
      <c r="C30" s="26" t="n">
        <f aca="false">$B$6*100/2+IF(A30=$B$16,100,0)</f>
        <v>2.5</v>
      </c>
      <c r="D30" s="27" t="n">
        <f aca="false">C30/(1+$B$9/2)^A30</f>
        <v>1.96497740170955</v>
      </c>
      <c r="E30" s="27" t="n">
        <f aca="false">B30*D30</f>
        <v>6.87742090598342</v>
      </c>
    </row>
    <row r="31" customFormat="false" ht="15" hidden="false" customHeight="false" outlineLevel="0" collapsed="false">
      <c r="A31" s="0" t="n">
        <v>8</v>
      </c>
      <c r="B31" s="26" t="n">
        <f aca="false">A31/2</f>
        <v>4</v>
      </c>
      <c r="C31" s="26" t="n">
        <f aca="false">$B$6*100/2+IF(A31=$B$16,100,0)</f>
        <v>2.5</v>
      </c>
      <c r="D31" s="27" t="n">
        <f aca="false">C31/(1+$B$9/2)^A31</f>
        <v>1.89852889054063</v>
      </c>
      <c r="E31" s="27" t="n">
        <f aca="false">B31*D31</f>
        <v>7.59411556216251</v>
      </c>
    </row>
    <row r="32" customFormat="false" ht="15" hidden="false" customHeight="false" outlineLevel="0" collapsed="false">
      <c r="A32" s="0" t="n">
        <v>9</v>
      </c>
      <c r="B32" s="26" t="n">
        <f aca="false">A32/2</f>
        <v>4.5</v>
      </c>
      <c r="C32" s="26" t="n">
        <f aca="false">$B$6*100/2+IF(A32=$B$16,100,0)</f>
        <v>2.5</v>
      </c>
      <c r="D32" s="27" t="n">
        <f aca="false">C32/(1+$B$9/2)^A32</f>
        <v>1.83432743047404</v>
      </c>
      <c r="E32" s="27" t="n">
        <f aca="false">B32*D32</f>
        <v>8.25447343713316</v>
      </c>
    </row>
    <row r="33" customFormat="false" ht="15" hidden="false" customHeight="false" outlineLevel="0" collapsed="false">
      <c r="A33" s="0" t="n">
        <v>10</v>
      </c>
      <c r="B33" s="26" t="n">
        <f aca="false">A33/2</f>
        <v>5</v>
      </c>
      <c r="C33" s="26" t="n">
        <f aca="false">$B$6*100/2+IF(A33=$B$16,100,0)</f>
        <v>2.5</v>
      </c>
      <c r="D33" s="27" t="n">
        <f aca="false">C33/(1+$B$9/2)^A33</f>
        <v>1.77229703427443</v>
      </c>
      <c r="E33" s="27" t="n">
        <f aca="false">B33*D33</f>
        <v>8.86148517137215</v>
      </c>
    </row>
    <row r="34" customFormat="false" ht="15" hidden="false" customHeight="false" outlineLevel="0" collapsed="false">
      <c r="A34" s="0" t="n">
        <v>11</v>
      </c>
      <c r="B34" s="26" t="n">
        <f aca="false">A34/2</f>
        <v>5.5</v>
      </c>
      <c r="C34" s="26" t="n">
        <f aca="false">$B$6*100/2+IF(A34=$B$16,100,0)</f>
        <v>2.5</v>
      </c>
      <c r="D34" s="27" t="n">
        <f aca="false">C34/(1+$B$9/2)^A34</f>
        <v>1.71236428432312</v>
      </c>
      <c r="E34" s="27" t="n">
        <f aca="false">B34*D34</f>
        <v>9.41800356377717</v>
      </c>
    </row>
    <row r="35" customFormat="false" ht="15" hidden="false" customHeight="false" outlineLevel="0" collapsed="false">
      <c r="A35" s="0" t="n">
        <v>12</v>
      </c>
      <c r="B35" s="26" t="n">
        <f aca="false">A35/2</f>
        <v>6</v>
      </c>
      <c r="C35" s="26" t="n">
        <f aca="false">$B$6*100/2+IF(A35=$B$16,100,0)</f>
        <v>2.5</v>
      </c>
      <c r="D35" s="27" t="n">
        <f aca="false">C35/(1+$B$9/2)^A35</f>
        <v>1.65445824572282</v>
      </c>
      <c r="E35" s="27" t="n">
        <f aca="false">B35*D35</f>
        <v>9.92674947433694</v>
      </c>
    </row>
    <row r="36" customFormat="false" ht="15" hidden="false" customHeight="false" outlineLevel="0" collapsed="false">
      <c r="A36" s="0" t="n">
        <v>13</v>
      </c>
      <c r="B36" s="26" t="n">
        <f aca="false">A36/2</f>
        <v>6.5</v>
      </c>
      <c r="C36" s="26" t="n">
        <f aca="false">$B$6*100/2+IF(A36=$B$16,100,0)</f>
        <v>2.5</v>
      </c>
      <c r="D36" s="27" t="n">
        <f aca="false">C36/(1+$B$9/2)^A36</f>
        <v>1.59851038234089</v>
      </c>
      <c r="E36" s="27" t="n">
        <f aca="false">B36*D36</f>
        <v>10.3903174852158</v>
      </c>
    </row>
    <row r="37" customFormat="false" ht="15" hidden="false" customHeight="false" outlineLevel="0" collapsed="false">
      <c r="A37" s="0" t="n">
        <v>14</v>
      </c>
      <c r="B37" s="26" t="n">
        <f aca="false">A37/2</f>
        <v>7</v>
      </c>
      <c r="C37" s="26" t="n">
        <f aca="false">$B$6*100/2+IF(A37=$B$16,100,0)</f>
        <v>2.5</v>
      </c>
      <c r="D37" s="27" t="n">
        <f aca="false">C37/(1+$B$9/2)^A37</f>
        <v>1.54445447569168</v>
      </c>
      <c r="E37" s="27" t="n">
        <f aca="false">B37*D37</f>
        <v>10.8111813298418</v>
      </c>
    </row>
    <row r="38" customFormat="false" ht="15" hidden="false" customHeight="false" outlineLevel="0" collapsed="false">
      <c r="A38" s="0" t="n">
        <v>15</v>
      </c>
      <c r="B38" s="26" t="n">
        <f aca="false">A38/2</f>
        <v>7.5</v>
      </c>
      <c r="C38" s="26" t="n">
        <f aca="false">$B$6*100/2+IF(A38=$B$16,100,0)</f>
        <v>2.5</v>
      </c>
      <c r="D38" s="27" t="n">
        <f aca="false">C38/(1+$B$9/2)^A38</f>
        <v>1.49222654656201</v>
      </c>
      <c r="E38" s="27" t="n">
        <f aca="false">B38*D38</f>
        <v>11.1916990992151</v>
      </c>
    </row>
    <row r="39" customFormat="false" ht="15" hidden="false" customHeight="false" outlineLevel="0" collapsed="false">
      <c r="A39" s="0" t="n">
        <v>16</v>
      </c>
      <c r="B39" s="26" t="n">
        <f aca="false">A39/2</f>
        <v>8</v>
      </c>
      <c r="C39" s="26" t="n">
        <f aca="false">$B$6*100/2+IF(A39=$B$16,100,0)</f>
        <v>102.5</v>
      </c>
      <c r="D39" s="27" t="n">
        <f aca="false">C39/(1+$B$9/2)^A39</f>
        <v>59.1123559507657</v>
      </c>
      <c r="E39" s="27" t="n">
        <f aca="false">B39*D39</f>
        <v>472.898847606126</v>
      </c>
    </row>
    <row r="40" customFormat="false" ht="15" hidden="false" customHeight="false" outlineLevel="0" collapsed="false">
      <c r="A40" s="10" t="s">
        <v>112</v>
      </c>
      <c r="B40" s="10" t="s">
        <v>113</v>
      </c>
      <c r="C40" s="10" t="s">
        <v>30</v>
      </c>
      <c r="D40" s="10" t="s">
        <v>31</v>
      </c>
    </row>
    <row r="41" customFormat="false" ht="15" hidden="false" customHeight="false" outlineLevel="0" collapsed="false">
      <c r="A41" s="6" t="s">
        <v>231</v>
      </c>
      <c r="B41" s="18" t="n">
        <f aca="false">SUM(D24:D39)</f>
        <v>87.9058831918511</v>
      </c>
      <c r="C41" s="13" t="s">
        <v>232</v>
      </c>
    </row>
    <row r="42" customFormat="false" ht="15" hidden="false" customHeight="false" outlineLevel="0" collapsed="false">
      <c r="A42" s="11" t="s">
        <v>233</v>
      </c>
      <c r="B42" s="16" t="n">
        <f aca="false">SUM(E24:E39)/SUM(D24:D39)</f>
        <v>6.58509831476515</v>
      </c>
      <c r="C42" s="13" t="s">
        <v>234</v>
      </c>
    </row>
    <row r="43" customFormat="false" ht="15" hidden="false" customHeight="false" outlineLevel="0" collapsed="false">
      <c r="A43" s="11" t="s">
        <v>235</v>
      </c>
      <c r="B43" s="16" t="n">
        <f aca="false">$B$42/(1+$B$9/2)</f>
        <v>6.36241383069096</v>
      </c>
      <c r="C43" s="13" t="s">
        <v>236</v>
      </c>
    </row>
    <row r="44" customFormat="false" ht="15" hidden="false" customHeight="false" outlineLevel="0" collapsed="false">
      <c r="A44" s="6" t="s">
        <v>237</v>
      </c>
      <c r="B44" s="18" t="n">
        <f aca="false">DURATION(DATE(2026,1,1),DATE(2026+$B$16/2,1,1),$B$6,$B$9,2)</f>
        <v>6.58509831476514</v>
      </c>
      <c r="C44" s="13" t="s">
        <v>238</v>
      </c>
      <c r="D44" s="3" t="s">
        <v>239</v>
      </c>
    </row>
    <row r="45" customFormat="false" ht="15" hidden="false" customHeight="false" outlineLevel="0" collapsed="false">
      <c r="A45" s="11" t="s">
        <v>240</v>
      </c>
      <c r="B45" s="23" t="n">
        <f aca="false">-$B$43*($B$12-$B$9)</f>
        <v>-0.0318120691534548</v>
      </c>
      <c r="C45" s="13" t="s">
        <v>241</v>
      </c>
    </row>
    <row r="46" customFormat="false" ht="15" hidden="false" customHeight="false" outlineLevel="0" collapsed="false">
      <c r="A46" s="11" t="s">
        <v>242</v>
      </c>
      <c r="B46" s="16" t="n">
        <f aca="false">PV($B$12/2,$B$16,-$B$6*100/2,-100)</f>
        <v>85.1622936961189</v>
      </c>
      <c r="C46" s="13" t="s">
        <v>243</v>
      </c>
    </row>
    <row r="47" customFormat="false" ht="15" hidden="false" customHeight="false" outlineLevel="0" collapsed="false">
      <c r="A47" s="11" t="s">
        <v>244</v>
      </c>
      <c r="B47" s="23" t="n">
        <f aca="false">$B$46/$B$17-1</f>
        <v>-0.0312105333125926</v>
      </c>
      <c r="C47" s="13" t="s">
        <v>245</v>
      </c>
      <c r="D47" s="3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247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161</v>
      </c>
      <c r="B5" s="5"/>
      <c r="C5" s="5"/>
      <c r="D5" s="5"/>
    </row>
    <row r="6" customFormat="false" ht="15" hidden="false" customHeight="false" outlineLevel="0" collapsed="false">
      <c r="A6" s="6" t="s">
        <v>248</v>
      </c>
      <c r="B6" s="28" t="n">
        <v>46308</v>
      </c>
    </row>
    <row r="7" customFormat="false" ht="15" hidden="false" customHeight="false" outlineLevel="0" collapsed="false">
      <c r="A7" s="6" t="s">
        <v>249</v>
      </c>
      <c r="B7" s="22" t="n">
        <v>2</v>
      </c>
    </row>
    <row r="8" customFormat="false" ht="15" hidden="false" customHeight="false" outlineLevel="0" collapsed="false">
      <c r="A8" s="6" t="s">
        <v>250</v>
      </c>
      <c r="B8" s="28" t="n">
        <v>49902</v>
      </c>
    </row>
    <row r="9" customFormat="false" ht="15" hidden="false" customHeight="false" outlineLevel="0" collapsed="false">
      <c r="A9" s="6" t="s">
        <v>251</v>
      </c>
      <c r="B9" s="21" t="n">
        <v>0.045</v>
      </c>
    </row>
    <row r="10" customFormat="false" ht="15" hidden="false" customHeight="false" outlineLevel="0" collapsed="false">
      <c r="A10" s="6" t="s">
        <v>252</v>
      </c>
      <c r="B10" s="29" t="n">
        <v>101.25</v>
      </c>
    </row>
    <row r="11" customFormat="false" ht="15" hidden="false" customHeight="false" outlineLevel="0" collapsed="false">
      <c r="A11" s="6" t="s">
        <v>253</v>
      </c>
      <c r="B11" s="22" t="n">
        <v>1</v>
      </c>
    </row>
    <row r="12" customFormat="false" ht="15" hidden="false" customHeight="false" outlineLevel="0" collapsed="false">
      <c r="A12" s="6" t="s">
        <v>254</v>
      </c>
      <c r="B12" s="28" t="n">
        <v>49994</v>
      </c>
    </row>
    <row r="13" customFormat="false" ht="15" hidden="false" customHeight="false" outlineLevel="0" collapsed="false">
      <c r="A13" s="6" t="s">
        <v>255</v>
      </c>
      <c r="B13" s="21" t="n">
        <v>0.0625</v>
      </c>
    </row>
    <row r="14" customFormat="false" ht="15" hidden="false" customHeight="false" outlineLevel="0" collapsed="false">
      <c r="A14" s="6" t="s">
        <v>256</v>
      </c>
      <c r="B14" s="22" t="n">
        <v>0</v>
      </c>
    </row>
    <row r="15" customFormat="false" ht="15" hidden="false" customHeight="false" outlineLevel="0" collapsed="false">
      <c r="A15" s="6" t="s">
        <v>257</v>
      </c>
      <c r="B15" s="21" t="n">
        <v>0.015</v>
      </c>
      <c r="C15" s="3" t="s">
        <v>258</v>
      </c>
    </row>
    <row r="16" customFormat="false" ht="15" hidden="false" customHeight="false" outlineLevel="0" collapsed="false">
      <c r="A16" s="6" t="s">
        <v>259</v>
      </c>
      <c r="B16" s="21" t="n">
        <v>-0.005</v>
      </c>
      <c r="C16" s="3" t="s">
        <v>260</v>
      </c>
    </row>
    <row r="17" customFormat="false" ht="15" hidden="false" customHeight="false" outlineLevel="0" collapsed="false">
      <c r="A17" s="6" t="s">
        <v>261</v>
      </c>
      <c r="B17" s="22" t="n">
        <v>250</v>
      </c>
    </row>
    <row r="18" customFormat="false" ht="15" hidden="false" customHeight="false" outlineLevel="0" collapsed="false">
      <c r="A18" s="6" t="s">
        <v>262</v>
      </c>
      <c r="B18" s="21" t="n">
        <v>0.05</v>
      </c>
    </row>
    <row r="20" customFormat="false" ht="15" hidden="false" customHeight="false" outlineLevel="0" collapsed="false">
      <c r="A20" s="4" t="s">
        <v>171</v>
      </c>
      <c r="B20" s="5"/>
      <c r="C20" s="5"/>
      <c r="D20" s="5"/>
    </row>
    <row r="21" customFormat="false" ht="15" hidden="false" customHeight="false" outlineLevel="0" collapsed="false">
      <c r="A21" s="10" t="s">
        <v>112</v>
      </c>
      <c r="B21" s="10" t="s">
        <v>113</v>
      </c>
      <c r="C21" s="10" t="s">
        <v>30</v>
      </c>
      <c r="D21" s="10" t="s">
        <v>31</v>
      </c>
    </row>
    <row r="22" customFormat="false" ht="15" hidden="false" customHeight="false" outlineLevel="0" collapsed="false">
      <c r="A22" s="11" t="s">
        <v>263</v>
      </c>
      <c r="B22" s="23" t="n">
        <f aca="false">YIELD($B$6,$B$8,$B$9,$B$10,100,$B$7,$B$11)</f>
        <v>0.0434188444337922</v>
      </c>
      <c r="C22" s="13" t="s">
        <v>264</v>
      </c>
    </row>
    <row r="23" customFormat="false" ht="15" hidden="false" customHeight="false" outlineLevel="0" collapsed="false">
      <c r="A23" s="11" t="s">
        <v>265</v>
      </c>
      <c r="B23" s="23" t="n">
        <f aca="false">$B$22+$B$15</f>
        <v>0.0584188444337922</v>
      </c>
      <c r="C23" s="13" t="s">
        <v>266</v>
      </c>
    </row>
    <row r="24" customFormat="false" ht="15" hidden="false" customHeight="false" outlineLevel="0" collapsed="false">
      <c r="A24" s="11" t="s">
        <v>267</v>
      </c>
      <c r="B24" s="16" t="n">
        <f aca="false">PRICE($B$6,$B$12,$B$13,$B$23,100,$B$7,$B$14)</f>
        <v>103.071630751482</v>
      </c>
      <c r="C24" s="13" t="s">
        <v>268</v>
      </c>
    </row>
    <row r="25" customFormat="false" ht="15" hidden="false" customHeight="false" outlineLevel="0" collapsed="false">
      <c r="A25" s="11" t="s">
        <v>269</v>
      </c>
      <c r="B25" s="30" t="n">
        <f aca="false">COUPDAYBS($B$6,$B$12,$B$7,$B$14)</f>
        <v>148</v>
      </c>
      <c r="C25" s="13" t="s">
        <v>270</v>
      </c>
      <c r="D25" s="3" t="s">
        <v>271</v>
      </c>
    </row>
    <row r="26" customFormat="false" ht="15" hidden="false" customHeight="false" outlineLevel="0" collapsed="false">
      <c r="A26" s="11" t="s">
        <v>272</v>
      </c>
      <c r="B26" s="30" t="n">
        <f aca="false">COUPDAYS($B$6,$B$12,$B$7,$B$14)</f>
        <v>180</v>
      </c>
      <c r="C26" s="13" t="s">
        <v>273</v>
      </c>
    </row>
    <row r="27" customFormat="false" ht="15" hidden="false" customHeight="false" outlineLevel="0" collapsed="false">
      <c r="A27" s="11" t="s">
        <v>274</v>
      </c>
      <c r="B27" s="16" t="n">
        <f aca="false">$B$13*100/$B$7*$B$25/$B$26</f>
        <v>2.56944444444444</v>
      </c>
      <c r="C27" s="13" t="s">
        <v>275</v>
      </c>
    </row>
    <row r="28" customFormat="false" ht="15" hidden="false" customHeight="false" outlineLevel="0" collapsed="false">
      <c r="A28" s="11" t="s">
        <v>276</v>
      </c>
      <c r="B28" s="16" t="n">
        <f aca="false">$B$24</f>
        <v>103.071630751482</v>
      </c>
      <c r="C28" s="13" t="s">
        <v>277</v>
      </c>
    </row>
    <row r="29" customFormat="false" ht="15" hidden="false" customHeight="false" outlineLevel="0" collapsed="false">
      <c r="A29" s="11" t="s">
        <v>278</v>
      </c>
      <c r="B29" s="16" t="n">
        <f aca="false">$B$24+$B$27</f>
        <v>105.641075195926</v>
      </c>
      <c r="C29" s="13" t="s">
        <v>279</v>
      </c>
    </row>
    <row r="30" customFormat="false" ht="15" hidden="false" customHeight="false" outlineLevel="0" collapsed="false">
      <c r="A30" s="11" t="s">
        <v>280</v>
      </c>
      <c r="B30" s="16" t="n">
        <f aca="false">DURATION($B$6,$B$12,$B$13,$B$23,$B$7,$B$14)</f>
        <v>7.48956830085047</v>
      </c>
      <c r="C30" s="13" t="s">
        <v>281</v>
      </c>
    </row>
    <row r="31" customFormat="false" ht="15" hidden="false" customHeight="false" outlineLevel="0" collapsed="false">
      <c r="A31" s="11" t="s">
        <v>282</v>
      </c>
      <c r="B31" s="16" t="n">
        <f aca="false">MDURATION($B$6,$B$12,$B$13,$B$23,$B$7,$B$14)</f>
        <v>7.27701101367503</v>
      </c>
      <c r="C31" s="13" t="s">
        <v>283</v>
      </c>
    </row>
    <row r="32" customFormat="false" ht="15" hidden="false" customHeight="false" outlineLevel="0" collapsed="false">
      <c r="A32" s="11" t="s">
        <v>284</v>
      </c>
      <c r="B32" s="23" t="n">
        <f aca="false">-$B$31*$B$16</f>
        <v>0.0363850550683752</v>
      </c>
      <c r="C32" s="13" t="s">
        <v>285</v>
      </c>
      <c r="D32" s="3" t="s">
        <v>286</v>
      </c>
    </row>
    <row r="33" customFormat="false" ht="15" hidden="false" customHeight="false" outlineLevel="0" collapsed="false">
      <c r="A33" s="11" t="s">
        <v>287</v>
      </c>
      <c r="B33" s="23" t="n">
        <f aca="false">(PRICE($B$6,$B$12,$B$13,$B$23+$B$16,100,$B$7,$B$14)+$B$27)/$B$29-1</f>
        <v>0.0372455092440196</v>
      </c>
      <c r="C33" s="13" t="s">
        <v>288</v>
      </c>
      <c r="D33" s="3" t="s">
        <v>289</v>
      </c>
    </row>
    <row r="34" customFormat="false" ht="15" hidden="false" customHeight="false" outlineLevel="0" collapsed="false">
      <c r="A34" s="11" t="s">
        <v>290</v>
      </c>
      <c r="B34" s="23" t="n">
        <f aca="false">$B$23</f>
        <v>0.0584188444337922</v>
      </c>
      <c r="C34" s="13" t="s">
        <v>291</v>
      </c>
      <c r="D34" s="3" t="s">
        <v>292</v>
      </c>
    </row>
    <row r="35" customFormat="false" ht="15" hidden="false" customHeight="false" outlineLevel="0" collapsed="false">
      <c r="A35" s="6" t="s">
        <v>293</v>
      </c>
      <c r="B35" s="18" t="n">
        <f aca="false">PV($B$23/2,20,-$B$18*100/2,-100)</f>
        <v>93.6914216777546</v>
      </c>
      <c r="C35" s="13" t="s">
        <v>294</v>
      </c>
      <c r="D35" s="3" t="s">
        <v>295</v>
      </c>
    </row>
    <row r="36" customFormat="false" ht="15" hidden="false" customHeight="false" outlineLevel="0" collapsed="false">
      <c r="A36" s="11" t="s">
        <v>296</v>
      </c>
      <c r="B36" s="16" t="n">
        <f aca="false">$B$17/($B$35/100)</f>
        <v>266.833393626856</v>
      </c>
      <c r="C36" s="13" t="s">
        <v>297</v>
      </c>
      <c r="D36" s="3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2026-10-10T17:01:26Z</dcterms:created>
  <dc:creator>openpyxl</dc:creator>
  <dc:description/>
  <dc:language>en-US</dc:language>
  <cp:lastModifiedBy/>
  <dcterms:modified xsi:type="dcterms:W3CDTF">2026-10-10T17:01:26Z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