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2025 P2 Ratios" sheetId="2" state="visible" r:id="rId4"/>
    <sheet name="2025 P3 Cash flows" sheetId="3" state="visible" r:id="rId5"/>
    <sheet name="2025 P4 Bonds" sheetId="4" state="visible" r:id="rId6"/>
    <sheet name="2024 P3 Ratios" sheetId="5" state="visible" r:id="rId7"/>
    <sheet name="2024 P4 Bonds (no dates)" sheetId="6" state="visible" r:id="rId8"/>
    <sheet name="2024 P5 Bonds (dates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<sst xmlns="http://schemas.openxmlformats.org/spreadsheetml/2006/main" count="365" uniqueCount="332">
  <si>
    <t xml:space="preserve">EC 1745 practice midterms: worked answer keys</t>
  </si>
  <si>
    <t xml:space="preserve">Try each practice exam yourself first (blank workbook, timer on), then compare to these tabs.</t>
  </si>
  <si>
    <t xml:space="preserve">Tabs</t>
  </si>
  <si>
    <t xml:space="preserve">2025 P2 Ratios: Ferrario Corp. gross margin, ROE, DuPont, sustainable/internal growth, EV and P/E</t>
  </si>
  <si>
    <t xml:space="preserve">2025 P3 Cash flows: baseball contracts. Undiscounted total, PV, and value at year 10, each done the 'dumb' way (timeline) and the 'smart' way (PV/FV/NPV)</t>
  </si>
  <si>
    <t xml:space="preserve">2025 P4 Bonds: Treasury YIELD, spread, PRICE, accrued interest, dirty price, DURATION/MDURATION, plus a hand-built duration table</t>
  </si>
  <si>
    <t xml:space="preserve">2024 P3 Ratios: Bergstresser Corp. ratios for 2023 and 2024</t>
  </si>
  <si>
    <t xml:space="preserve">2024 P4 Bonds (no dates): Dioguardi bond with period-based functions (PMT, PV, RATE) and an approximate duration from two prices</t>
  </si>
  <si>
    <t xml:space="preserve">2024 P5 Bonds (dates): Ma Corp. clean/dirty price, coupon-day functions, duration, estimated vs. actual price change</t>
  </si>
  <si>
    <t xml:space="preserve">Skip the equity parts (2025 Part 5, 2024 Part 6). Chapter 7 (stocks) is not on this year's midterm, so they have no tab here.</t>
  </si>
  <si>
    <t xml:space="preserve">Conventions used (state your convention on the exam if a question is ambiguous)</t>
  </si>
  <si>
    <t xml:space="preserve">ROE and ROA use end-of-year book values, which is how the 2025 exam framed it ('book value of equity in 2024 was $1,200').</t>
  </si>
  <si>
    <t xml:space="preserve">Sustainable growth = ROE x retention ratio and internal growth = ROA x retention ratio (Berk-DeMarzo form). The alternative form g = x*b/(1 - x*b) is shown next to it. Use whichever your lecture notes used.</t>
  </si>
  <si>
    <t xml:space="preserve">Bond prices are per $100 of par. Yields are APRs (annual rate compounded semiannually), which is what Excel's YIELD and PRICE use.</t>
  </si>
  <si>
    <t xml:space="preserve">2025 midterm, Part 2: Ferrario Corporation ($ millions)</t>
  </si>
  <si>
    <t xml:space="preserve">Assume book equity $1,200, debt $500, no excess cash. Total assets = debt + equity = $1,700 (no other liabilities are given).</t>
  </si>
  <si>
    <t xml:space="preserve">Blue = numbers typed in from the exam.  Black = formulas.  Yellow = the answer to submit.  Column C shows the exact formula in that row's B cell.</t>
  </si>
  <si>
    <t xml:space="preserve">Inputs (2024 column of the exam tab)</t>
  </si>
  <si>
    <t xml:space="preserve">Revenue</t>
  </si>
  <si>
    <t xml:space="preserve">Cost of goods sold</t>
  </si>
  <si>
    <t xml:space="preserve">SG&amp;A</t>
  </si>
  <si>
    <t xml:space="preserve">Depreciation</t>
  </si>
  <si>
    <t xml:space="preserve">Interest expense</t>
  </si>
  <si>
    <t xml:space="preserve">Tax rate</t>
  </si>
  <si>
    <t xml:space="preserve">Dividends</t>
  </si>
  <si>
    <t xml:space="preserve">Book value of equity</t>
  </si>
  <si>
    <t xml:space="preserve">Debt</t>
  </si>
  <si>
    <t xml:space="preserve">Excess cash</t>
  </si>
  <si>
    <t xml:space="preserve">EV / EBIT multiple</t>
  </si>
  <si>
    <t xml:space="preserve">Income statement, rebuilt</t>
  </si>
  <si>
    <t xml:space="preserve">Line</t>
  </si>
  <si>
    <t xml:space="preserve">Value</t>
  </si>
  <si>
    <t xml:space="preserve">Formula</t>
  </si>
  <si>
    <t xml:space="preserve">Note</t>
  </si>
  <si>
    <t xml:space="preserve">Gross profit</t>
  </si>
  <si>
    <t xml:space="preserve">=$B$7-$B$8</t>
  </si>
  <si>
    <t xml:space="preserve">EBITDA</t>
  </si>
  <si>
    <t xml:space="preserve">=$B$21-$B$9</t>
  </si>
  <si>
    <t xml:space="preserve">EBIT</t>
  </si>
  <si>
    <t xml:space="preserve">=$B$22-$B$10</t>
  </si>
  <si>
    <t xml:space="preserve">Profit before tax</t>
  </si>
  <si>
    <t xml:space="preserve">=$B$23-$B$11</t>
  </si>
  <si>
    <t xml:space="preserve">Taxes</t>
  </si>
  <si>
    <t xml:space="preserve">=$B$12*$B$24</t>
  </si>
  <si>
    <t xml:space="preserve">Net income</t>
  </si>
  <si>
    <t xml:space="preserve">=$B$24-$B$25</t>
  </si>
  <si>
    <t xml:space="preserve">Retained earnings (added this year)</t>
  </si>
  <si>
    <t xml:space="preserve">=$B$26-$B$13</t>
  </si>
  <si>
    <t xml:space="preserve">Total assets = debt + equity</t>
  </si>
  <si>
    <t xml:space="preserve">=$B$15+$B$14</t>
  </si>
  <si>
    <t xml:space="preserve">Assumption: the only liabilities are the $500 of debt</t>
  </si>
  <si>
    <t xml:space="preserve">Answers</t>
  </si>
  <si>
    <t xml:space="preserve">Question</t>
  </si>
  <si>
    <t xml:space="preserve">Answer</t>
  </si>
  <si>
    <t xml:space="preserve">What it means</t>
  </si>
  <si>
    <t xml:space="preserve">2.A  Gross margin</t>
  </si>
  <si>
    <t xml:space="preserve">=$B$21/$B$7</t>
  </si>
  <si>
    <t xml:space="preserve">Share of each sales dollar left after direct production costs</t>
  </si>
  <si>
    <t xml:space="preserve">2.B  ROE</t>
  </si>
  <si>
    <t xml:space="preserve">=$B$26/$B$14</t>
  </si>
  <si>
    <t xml:space="preserve">Net income per dollar of shareholders' book equity</t>
  </si>
  <si>
    <t xml:space="preserve">2.C.a  Profit margin</t>
  </si>
  <si>
    <t xml:space="preserve">=$B$26/$B$7</t>
  </si>
  <si>
    <t xml:space="preserve">DuPont piece 1: profitability</t>
  </si>
  <si>
    <t xml:space="preserve">2.C.b  Total asset turnover</t>
  </si>
  <si>
    <t xml:space="preserve">=$B$7/$B$28</t>
  </si>
  <si>
    <t xml:space="preserve">DuPont piece 2: efficiency (sales per $ of assets)</t>
  </si>
  <si>
    <t xml:space="preserve">2.C.c  Equity multiplier</t>
  </si>
  <si>
    <t xml:space="preserve">=$B$28/$B$14</t>
  </si>
  <si>
    <t xml:space="preserve">DuPont piece 3: leverage (assets per $ of equity)</t>
  </si>
  <si>
    <t xml:space="preserve">   check: PM x ATO x EM = ROE</t>
  </si>
  <si>
    <t xml:space="preserve">=$B$34*$B$35*$B$36</t>
  </si>
  <si>
    <t xml:space="preserve">Must equal 2.B exactly</t>
  </si>
  <si>
    <t xml:space="preserve">   Retention ratio b</t>
  </si>
  <si>
    <t xml:space="preserve">=$B$27/$B$26</t>
  </si>
  <si>
    <t xml:space="preserve">Same as 1 - dividends/NI</t>
  </si>
  <si>
    <t xml:space="preserve">   ROA</t>
  </si>
  <si>
    <t xml:space="preserve">=$B$26/$B$28</t>
  </si>
  <si>
    <t xml:space="preserve">2.D.a  Sustainable growth rate</t>
  </si>
  <si>
    <t xml:space="preserve">=$B$33*$B$38</t>
  </si>
  <si>
    <t xml:space="preserve">Fastest growth with no new equity and a constant D/E ratio</t>
  </si>
  <si>
    <t xml:space="preserve">   (alt form ROE*b/(1-ROE*b))</t>
  </si>
  <si>
    <t xml:space="preserve">=$B$33*$B$38/(1-$B$33*$B$38)</t>
  </si>
  <si>
    <t xml:space="preserve">Use if your class used the Ross-Westerfield-Jordan form</t>
  </si>
  <si>
    <t xml:space="preserve">2.D.b  Internal growth rate</t>
  </si>
  <si>
    <t xml:space="preserve">=$B$39*$B$38</t>
  </si>
  <si>
    <t xml:space="preserve">Fastest growth funded only by retained earnings (no outside financing)</t>
  </si>
  <si>
    <t xml:space="preserve">   (alt form ROA*b/(1-ROA*b))</t>
  </si>
  <si>
    <t xml:space="preserve">=$B$39*$B$38/(1-$B$39*$B$38)</t>
  </si>
  <si>
    <t xml:space="preserve">2.E.a  Enterprise value</t>
  </si>
  <si>
    <t xml:space="preserve">=$B$17*$B$23</t>
  </si>
  <si>
    <t xml:space="preserve">EV = 8 x EBIT</t>
  </si>
  <si>
    <t xml:space="preserve">2.E.b  Market value of equity</t>
  </si>
  <si>
    <t xml:space="preserve">=$B$44-$B$15+$B$16</t>
  </si>
  <si>
    <t xml:space="preserve">EV = equity + debt - excess cash, so equity = EV - debt + cash</t>
  </si>
  <si>
    <t xml:space="preserve">2.E.c  P/E ratio</t>
  </si>
  <si>
    <t xml:space="preserve">=$B$45/$B$26</t>
  </si>
  <si>
    <t xml:space="preserve">Market value of equity / net income (same as price / EPS)</t>
  </si>
  <si>
    <t xml:space="preserve">2025 midterm, Part 3: two contract offers ($ millions), r = 10%</t>
  </si>
  <si>
    <t xml:space="preserve">Blue = inputs. Black = formulas. Yellow = answers. Formula text for each answer is in the box at the bottom.</t>
  </si>
  <si>
    <t xml:space="preserve">Discount rate r</t>
  </si>
  <si>
    <t xml:space="preserve">Year t</t>
  </si>
  <si>
    <t xml:space="preserve">Contract 1 cash flow</t>
  </si>
  <si>
    <t xml:space="preserve">Contract 2 cash flow</t>
  </si>
  <si>
    <t xml:space="preserve">Discount factor 1/(1+r)^t</t>
  </si>
  <si>
    <t xml:space="preserve">PV of contract 1 cash flow</t>
  </si>
  <si>
    <t xml:space="preserve">PV of contract 2 cash flow</t>
  </si>
  <si>
    <t xml:space="preserve">Contract 1 CF grown to year 10: CF*(1+r)^(10-t)</t>
  </si>
  <si>
    <t xml:space="preserve">Contract 2 CF grown to year 10</t>
  </si>
  <si>
    <t xml:space="preserve">Answers (two ways each; they must agree)</t>
  </si>
  <si>
    <t xml:space="preserve">3.A.a  Total cash, contract 1</t>
  </si>
  <si>
    <t xml:space="preserve">=SUM(B8:L8)</t>
  </si>
  <si>
    <t xml:space="preserve">3.A.b  Total cash, contract 2</t>
  </si>
  <si>
    <t xml:space="preserve">=SUM(B9:L9)</t>
  </si>
  <si>
    <t xml:space="preserve">3.B.a  PV contract 1 (dumb: sum of PV row)</t>
  </si>
  <si>
    <t xml:space="preserve">=SUM(B11:L11)</t>
  </si>
  <si>
    <t xml:space="preserve">        PV contract 1 (SUMPRODUCT)</t>
  </si>
  <si>
    <t xml:space="preserve">=SUMPRODUCT(B8:L8,B10:L10)</t>
  </si>
  <si>
    <t xml:space="preserve">        PV contract 1 (smart: PV function)</t>
  </si>
  <si>
    <t xml:space="preserve">=PV($B$5,10,-30)</t>
  </si>
  <si>
    <t xml:space="preserve">        PV contract 1 (NPV: CF0 + NPV of t=1..10)</t>
  </si>
  <si>
    <t xml:space="preserve">=B8+NPV($B$5,C8:L8)</t>
  </si>
  <si>
    <t xml:space="preserve">3.B.b  PV contract 2 (dumb)</t>
  </si>
  <si>
    <t xml:space="preserve">=SUM(B12:L12)</t>
  </si>
  <si>
    <t xml:space="preserve">        PV contract 2 (smart: PV function)</t>
  </si>
  <si>
    <t xml:space="preserve">=PV($B$5,8,-35)</t>
  </si>
  <si>
    <t xml:space="preserve">3.C.a  Value at year 10, contract 1 (dumb: sum of grown CFs)</t>
  </si>
  <si>
    <t xml:space="preserve">=SUM(B13:L13)</t>
  </si>
  <si>
    <t xml:space="preserve">        same, smart: FV function</t>
  </si>
  <si>
    <t xml:space="preserve">=FV($B$5,10,-30)</t>
  </si>
  <si>
    <t xml:space="preserve">        same, PV grown forward: PV*(1+r)^10</t>
  </si>
  <si>
    <t xml:space="preserve">=B20*(1+$B$5)^10</t>
  </si>
  <si>
    <t xml:space="preserve">3.C.b  Value at year 10, contract 2 (dumb)</t>
  </si>
  <si>
    <t xml:space="preserve">=SUM(B14:L14)</t>
  </si>
  <si>
    <t xml:space="preserve">        same, smart: FV at year 8, then 2 more years</t>
  </si>
  <si>
    <t xml:space="preserve">=FV($B$5,8,-35)*(1+$B$5)^2</t>
  </si>
  <si>
    <t xml:space="preserve">Takeaway: contract 2 promises less total cash (280 vs 300) but is worth more (PV 186.7 vs 184.3) because its cash arrives sooner.</t>
  </si>
  <si>
    <t xml:space="preserve">PV() returns a negative number when the payment is positive (Excel treats money received and paid as opposite signs). Enter the payment as negative, or put a minus sign in front of PV().</t>
  </si>
  <si>
    <t xml:space="preserve">2025 midterm, Part 4: Taglialatela bond vs. Treasury benchmark</t>
  </si>
  <si>
    <t xml:space="preserve">Settlement 10/7/2025. Prices per $100 par, semiannual coupons (frequency = 2).</t>
  </si>
  <si>
    <t xml:space="preserve">Inputs</t>
  </si>
  <si>
    <t xml:space="preserve">Settlement date</t>
  </si>
  <si>
    <t xml:space="preserve">Type it as =DATE(2025,10,7)</t>
  </si>
  <si>
    <t xml:space="preserve">Frequency (coupons per year)</t>
  </si>
  <si>
    <t xml:space="preserve">Redemption (per 100 par)</t>
  </si>
  <si>
    <t xml:space="preserve">Treasury maturity</t>
  </si>
  <si>
    <t xml:space="preserve">Treasury coupon rate</t>
  </si>
  <si>
    <t xml:space="preserve">Treasury clean price</t>
  </si>
  <si>
    <t xml:space="preserve">Treasury basis (ACT/ACT)</t>
  </si>
  <si>
    <t xml:space="preserve">Corporate maturity</t>
  </si>
  <si>
    <t xml:space="preserve">Corporate coupon rate</t>
  </si>
  <si>
    <t xml:space="preserve">Corporate basis (30/360)</t>
  </si>
  <si>
    <t xml:space="preserve">Spread over Treasury</t>
  </si>
  <si>
    <t xml:space="preserve">100 basis points = 1.00% = 0.01</t>
  </si>
  <si>
    <t xml:space="preserve">4.A  Treasury yield to maturity</t>
  </si>
  <si>
    <t xml:space="preserve">=YIELD($B$7,$B$10,$B$11,$B$12,$B$9,$B$8,$B$13)</t>
  </si>
  <si>
    <t xml:space="preserve">YIELD(settlement, maturity, rate, price, redemption, frequency, basis)</t>
  </si>
  <si>
    <t xml:space="preserve">4.B  Taglialatela yield</t>
  </si>
  <si>
    <t xml:space="preserve">=$B$21+$B$17</t>
  </si>
  <si>
    <t xml:space="preserve">Benchmark yield + credit spread</t>
  </si>
  <si>
    <t xml:space="preserve">4.C  Clean price</t>
  </si>
  <si>
    <t xml:space="preserve">=PRICE($B$7,$B$14,$B$15,$B$22,$B$9,$B$8,$B$16)</t>
  </si>
  <si>
    <t xml:space="preserve">PRICE() always returns the CLEAN price per 100</t>
  </si>
  <si>
    <t xml:space="preserve">   Previous coupon date</t>
  </si>
  <si>
    <t xml:space="preserve">=COUPPCD($B$7,$B$14,$B$8,$B$16)</t>
  </si>
  <si>
    <t xml:space="preserve">   Next coupon date</t>
  </si>
  <si>
    <t xml:space="preserve">=COUPNCD($B$7,$B$14,$B$8,$B$16)</t>
  </si>
  <si>
    <t xml:space="preserve">   Days since last coupon</t>
  </si>
  <si>
    <t xml:space="preserve">=COUPDAYBS($B$7,$B$14,$B$8,$B$16)</t>
  </si>
  <si>
    <t xml:space="preserve">30/360: 9/15 to 10/7 = 22 days</t>
  </si>
  <si>
    <t xml:space="preserve">   Days in coupon period</t>
  </si>
  <si>
    <t xml:space="preserve">=COUPDAYS($B$7,$B$14,$B$8,$B$16)</t>
  </si>
  <si>
    <t xml:space="preserve">30/360: always 180 for semiannual</t>
  </si>
  <si>
    <t xml:space="preserve">   Days settlement to next coupon</t>
  </si>
  <si>
    <t xml:space="preserve">=COUPDAYSNC($B$7,$B$14,$B$8,$B$16)</t>
  </si>
  <si>
    <t xml:space="preserve">   Coupons remaining</t>
  </si>
  <si>
    <t xml:space="preserve">=COUPNUM($B$7,$B$14,$B$8,$B$16)</t>
  </si>
  <si>
    <t xml:space="preserve">4.D  Accrued interest</t>
  </si>
  <si>
    <t xml:space="preserve">=$B$15*100/$B$8*$B$26/$B$27</t>
  </si>
  <si>
    <t xml:space="preserve">Coupon per period x fraction of the period elapsed</t>
  </si>
  <si>
    <t xml:space="preserve">   (check with ACCRINT)</t>
  </si>
  <si>
    <t xml:space="preserve">=ACCRINT($B$24,COUPNCD($B$7,$B$14,$B$8,$B$16),$B$7,$B$15,100,$B$8,$B$16)</t>
  </si>
  <si>
    <t xml:space="preserve">ACCRINT(issue, first_interest, settlement, rate, par, freq, basis)</t>
  </si>
  <si>
    <t xml:space="preserve">4.E  Dirty price</t>
  </si>
  <si>
    <t xml:space="preserve">=$B$23+$B$30</t>
  </si>
  <si>
    <t xml:space="preserve">What a buyer actually pays = clean + accrued</t>
  </si>
  <si>
    <t xml:space="preserve">4.F  Macaulay duration (years)</t>
  </si>
  <si>
    <t xml:space="preserve">=DURATION($B$7,$B$14,$B$15,$B$22,$B$8,$B$16)</t>
  </si>
  <si>
    <t xml:space="preserve">PV-weighted average time to the cash flows</t>
  </si>
  <si>
    <t xml:space="preserve">4.G  Modified duration</t>
  </si>
  <si>
    <t xml:space="preserve">=MDURATION($B$7,$B$14,$B$15,$B$22,$B$8,$B$16)</t>
  </si>
  <si>
    <t xml:space="preserve">Macaulay / (1 + y/f)</t>
  </si>
  <si>
    <t xml:space="preserve">4.H  Estimated % price change, +100bp</t>
  </si>
  <si>
    <t xml:space="preserve">=-$B$34*0.01</t>
  </si>
  <si>
    <t xml:space="preserve">Price FALLS by about this much: %dP = -MD x dy</t>
  </si>
  <si>
    <t xml:space="preserve">   Actual % change in dirty price (reprice at y+1%)</t>
  </si>
  <si>
    <t xml:space="preserve">=(PRICE($B$7,$B$14,$B$15,$B$22+0.01,$B$9,$B$8,$B$16)+$B$30)/$B$32-1</t>
  </si>
  <si>
    <t xml:space="preserve">Smaller drop than the estimate. That gap is convexity.</t>
  </si>
  <si>
    <t xml:space="preserve">Duration the 'dumb' way: build every cash flow (check on DURATION)</t>
  </si>
  <si>
    <t xml:space="preserve">Periods from settlement to coupon k = (k-1) + DSC/E.  Discount each cash flow at y/2 per period.</t>
  </si>
  <si>
    <t xml:space="preserve">Coupon #</t>
  </si>
  <si>
    <t xml:space="preserve">Periods from settle</t>
  </si>
  <si>
    <t xml:space="preserve">Years</t>
  </si>
  <si>
    <t xml:space="preserve">Cash flow</t>
  </si>
  <si>
    <t xml:space="preserve">PV of CF</t>
  </si>
  <si>
    <t xml:space="preserve">Years x PV</t>
  </si>
  <si>
    <t xml:space="preserve">Sum of PVs = dirty price</t>
  </si>
  <si>
    <t xml:space="preserve">=SUM(E41:E60)</t>
  </si>
  <si>
    <t xml:space="preserve">Macaulay duration = sum(Years x PV) / sum(PV)</t>
  </si>
  <si>
    <t xml:space="preserve">=SUM(F41:F60)/SUM(E41:E60)</t>
  </si>
  <si>
    <t xml:space="preserve">Modified duration = Macaulay / (1 + y/2)</t>
  </si>
  <si>
    <t xml:space="preserve">=B62/(1+$B$22/$B$8)</t>
  </si>
  <si>
    <t xml:space="preserve">2024 midterm, Part 3: Bergstresser Corporation ($ millions)</t>
  </si>
  <si>
    <t xml:space="preserve">Each formula is shown for the 2024 column (column C). The 2023 column (B) uses the same formula one column to the left.</t>
  </si>
  <si>
    <t xml:space="preserve">Blue = inputs. Black = formulas. Yellow = answers.</t>
  </si>
  <si>
    <t xml:space="preserve">2023</t>
  </si>
  <si>
    <t xml:space="preserve">2024</t>
  </si>
  <si>
    <t xml:space="preserve">Total assets</t>
  </si>
  <si>
    <t xml:space="preserve">Shareholders' equity</t>
  </si>
  <si>
    <t xml:space="preserve">Total liabilities</t>
  </si>
  <si>
    <t xml:space="preserve">3.A  Gross margin</t>
  </si>
  <si>
    <t xml:space="preserve">=C9/C8</t>
  </si>
  <si>
    <t xml:space="preserve">Rising: the firm keeps more of each sales dollar after production costs</t>
  </si>
  <si>
    <t xml:space="preserve">3.B  ROE</t>
  </si>
  <si>
    <t xml:space="preserve">=C11/C14</t>
  </si>
  <si>
    <t xml:space="preserve">Positive both years, so profitable; ROE rose from about 10% to about 16%</t>
  </si>
  <si>
    <t xml:space="preserve">3.C  Profit margin</t>
  </si>
  <si>
    <t xml:space="preserve">=C11/C8</t>
  </si>
  <si>
    <t xml:space="preserve">Main driver of the ROE increase</t>
  </si>
  <si>
    <t xml:space="preserve">3.C  Asset turnover</t>
  </si>
  <si>
    <t xml:space="preserve">=C8/C13</t>
  </si>
  <si>
    <t xml:space="preserve">Roughly flat</t>
  </si>
  <si>
    <t xml:space="preserve">3.C  Equity multiplier</t>
  </si>
  <si>
    <t xml:space="preserve">=C13/C14</t>
  </si>
  <si>
    <t xml:space="preserve">Roughly flat, slightly lower leverage</t>
  </si>
  <si>
    <t xml:space="preserve">   check: PM x ATO x EM</t>
  </si>
  <si>
    <t xml:space="preserve">=C20*C21*C22</t>
  </si>
  <si>
    <t xml:space="preserve">Equals ROE</t>
  </si>
  <si>
    <t xml:space="preserve">=(C11-C12)/C11</t>
  </si>
  <si>
    <t xml:space="preserve">=C11/C13</t>
  </si>
  <si>
    <t xml:space="preserve">3.D  Sustainable growth = ROE x b</t>
  </si>
  <si>
    <t xml:space="preserve">=C19*C24</t>
  </si>
  <si>
    <t xml:space="preserve">   (alt ROE*b/(1-ROE*b))</t>
  </si>
  <si>
    <t xml:space="preserve">=C19*C24/(1-C19*C24)</t>
  </si>
  <si>
    <t xml:space="preserve">3.D  Internal growth = ROA x b</t>
  </si>
  <si>
    <t xml:space="preserve">=C25*C24</t>
  </si>
  <si>
    <t xml:space="preserve">   (alt ROA*b/(1-ROA*b))</t>
  </si>
  <si>
    <t xml:space="preserve">=C25*C24/(1-C25*C24)</t>
  </si>
  <si>
    <t xml:space="preserve">DuPont reading: ROE rose because profit margin rose (1.6% to 2.6%). Turnover (about 3.0x) and leverage (about 2.0x) barely moved.</t>
  </si>
  <si>
    <t xml:space="preserve">2024 midterm, Part 4: Dioguardi bond (period-based 'dumb' functions)</t>
  </si>
  <si>
    <t xml:space="preserve">Issued 3 years ago with 20 years to maturity, semiannual coupons, issue price 94.221, YTM at issue 6% APR.</t>
  </si>
  <si>
    <t xml:space="preserve">Issue price (% of par)</t>
  </si>
  <si>
    <t xml:space="preserve">YTM at issue (APR)</t>
  </si>
  <si>
    <t xml:space="preserve">Years to maturity at issue</t>
  </si>
  <si>
    <t xml:space="preserve">Years elapsed</t>
  </si>
  <si>
    <t xml:space="preserve">YTM now (APR)</t>
  </si>
  <si>
    <t xml:space="preserve">YTM next instant (APR)</t>
  </si>
  <si>
    <t xml:space="preserve">   Coupon per half-year (per 100 par)</t>
  </si>
  <si>
    <t xml:space="preserve">=PMT($B$8/2,2*$B$9,-$B$7,100)</t>
  </si>
  <si>
    <t xml:space="preserve">PMT(rate, nper, pv, fv): pay -price now, get 100 back at the end</t>
  </si>
  <si>
    <t xml:space="preserve">4.A  Annual coupon rate</t>
  </si>
  <si>
    <t xml:space="preserve">=ROUND(2*$B$16/100,4)</t>
  </si>
  <si>
    <t xml:space="preserve">2.75 x 2 = 5.50 per 100 = 5.5%. Rounded because the 94.221 price was itself rounded (PMT gives 2.74999)</t>
  </si>
  <si>
    <t xml:space="preserve">4.B  Periodic (semiannual) yield</t>
  </si>
  <si>
    <t xml:space="preserve">=$B$8/2</t>
  </si>
  <si>
    <t xml:space="preserve">APR / 2</t>
  </si>
  <si>
    <t xml:space="preserve">4.B  Effective annual yield</t>
  </si>
  <si>
    <t xml:space="preserve">=(1+$B$8/2)^2-1</t>
  </si>
  <si>
    <t xml:space="preserve">Same as =EFFECT(6%,2)</t>
  </si>
  <si>
    <t xml:space="preserve">   (check with EFFECT)</t>
  </si>
  <si>
    <t xml:space="preserve">=EFFECT($B$8,2)</t>
  </si>
  <si>
    <t xml:space="preserve">   Periods remaining now</t>
  </si>
  <si>
    <t xml:space="preserve">=2*($B$9-$B$10)</t>
  </si>
  <si>
    <t xml:space="preserve">4.C  Price now at 7%</t>
  </si>
  <si>
    <t xml:space="preserve">=PV($B$11/2,$B$21,-$B$17*100/2,-100)</t>
  </si>
  <si>
    <t xml:space="preserve">Discount 34 coupons + par at 3.5% per half-year</t>
  </si>
  <si>
    <t xml:space="preserve">4.D  Price after jump to 8%</t>
  </si>
  <si>
    <t xml:space="preserve">=PV($B$12/2,$B$21,-$B$17*100/2,-100)</t>
  </si>
  <si>
    <t xml:space="preserve">   % price change</t>
  </si>
  <si>
    <t xml:space="preserve">=$B$23/$B$22-1</t>
  </si>
  <si>
    <t xml:space="preserve">4.D  Approximate duration</t>
  </si>
  <si>
    <t xml:space="preserve">=-($B$23-$B$22)/$B$22/($B$12-$B$11)</t>
  </si>
  <si>
    <t xml:space="preserve">D is about -(%dP)/dy. A 1-point yield rise cut the price about 9.7%.</t>
  </si>
  <si>
    <t xml:space="preserve">   (compare) exact modified duration at 7%</t>
  </si>
  <si>
    <t xml:space="preserve">=MDURATION(DATE(2000,1,1),DATE(2000+$B$21/2,1,1),$B$17,$B$11,2)</t>
  </si>
  <si>
    <t xml:space="preserve">Dummy dates exactly 17 years apart let the 'smart' function work with no real dates</t>
  </si>
  <si>
    <t xml:space="preserve">   (compare) exact Macaulay duration at 7%</t>
  </si>
  <si>
    <t xml:space="preserve">=DURATION(DATE(2000,1,1),DATE(2000+$B$21/2,1,1),$B$17,$B$11,2)</t>
  </si>
  <si>
    <t xml:space="preserve">Why the approximation (9.67) is below modified duration (10.36): price is convex in yield, so a big +1% move lowers the price less than the tangent-line estimate predicts.</t>
  </si>
  <si>
    <t xml:space="preserve">2024 midterm, Part 5: Ma Corporation bond (date-based 'smart' functions)</t>
  </si>
  <si>
    <t xml:space="preserve">Settlement 10/17/2024, maturity 5/15/2054, 10% coupon paid semiannually, 30/360 (basis 0), yield 12% APR.</t>
  </si>
  <si>
    <t xml:space="preserve">Settlement</t>
  </si>
  <si>
    <t xml:space="preserve">Maturity</t>
  </si>
  <si>
    <t xml:space="preserve">Coupon rate</t>
  </si>
  <si>
    <t xml:space="preserve">Yield (APR)</t>
  </si>
  <si>
    <t xml:space="preserve">Frequency</t>
  </si>
  <si>
    <t xml:space="preserve">Basis (30/360)</t>
  </si>
  <si>
    <t xml:space="preserve">Yield increase</t>
  </si>
  <si>
    <t xml:space="preserve">25 basis points</t>
  </si>
  <si>
    <t xml:space="preserve">5.A  Clean price</t>
  </si>
  <si>
    <t xml:space="preserve">=PRICE($B$7,$B$8,$B$9,$B$10,100,$B$11,$B$12)</t>
  </si>
  <si>
    <t xml:space="preserve">5.B  Days in coupon period</t>
  </si>
  <si>
    <t xml:space="preserve">=COUPDAYS($B$7,$B$8,$B$11,$B$12)</t>
  </si>
  <si>
    <t xml:space="preserve">5/15/2024 to 11/15/2024 on 30/360</t>
  </si>
  <si>
    <t xml:space="preserve">5.C  Days elapsed in period</t>
  </si>
  <si>
    <t xml:space="preserve">=COUPDAYBS($B$7,$B$8,$B$11,$B$12)</t>
  </si>
  <si>
    <t xml:space="preserve">5/15 to 10/17 = 5 months x 30 + 2</t>
  </si>
  <si>
    <t xml:space="preserve">5.D  Share of period elapsed</t>
  </si>
  <si>
    <t xml:space="preserve">=$B$19/$B$18</t>
  </si>
  <si>
    <t xml:space="preserve">5.E  Accrued interest</t>
  </si>
  <si>
    <t xml:space="preserve">=$B$9*100/$B$11*$B$20</t>
  </si>
  <si>
    <t xml:space="preserve">5.00 coupon x 0.8444</t>
  </si>
  <si>
    <t xml:space="preserve">5.F  Dirty price</t>
  </si>
  <si>
    <t xml:space="preserve">=$B$17+$B$21</t>
  </si>
  <si>
    <t xml:space="preserve">5.G  Dealer quote</t>
  </si>
  <si>
    <t xml:space="preserve">=$B$17</t>
  </si>
  <si>
    <t xml:space="preserve">Dealers quote the CLEAN price</t>
  </si>
  <si>
    <t xml:space="preserve">5.H  Price you pay</t>
  </si>
  <si>
    <t xml:space="preserve">=$B$22</t>
  </si>
  <si>
    <t xml:space="preserve">You pay the DIRTY (invoice) price</t>
  </si>
  <si>
    <t xml:space="preserve">5.I  Macaulay duration</t>
  </si>
  <si>
    <t xml:space="preserve">=DURATION($B$7,$B$8,$B$9,$B$10,$B$11,$B$12)</t>
  </si>
  <si>
    <t xml:space="preserve">5.J  Modified duration</t>
  </si>
  <si>
    <t xml:space="preserve">=MDURATION($B$7,$B$8,$B$9,$B$10,$B$11,$B$12)</t>
  </si>
  <si>
    <t xml:space="preserve">5.K  Estimated % change in dirty price</t>
  </si>
  <si>
    <t xml:space="preserve">=-$B$26*$B$13</t>
  </si>
  <si>
    <t xml:space="preserve">5.L  Actual dirty price after +25bp</t>
  </si>
  <si>
    <t xml:space="preserve">=PRICE($B$7,$B$8,$B$9,$B$10+$B$13,100,$B$11,$B$12)+$B$21</t>
  </si>
  <si>
    <t xml:space="preserve">Accrued interest doesn't depend on yield, so add the same AI</t>
  </si>
  <si>
    <t xml:space="preserve">   Actual % change</t>
  </si>
  <si>
    <t xml:space="preserve">=$B$28/$B$22-1</t>
  </si>
  <si>
    <t xml:space="preserve">Close to the estimate for a small (25bp) move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</si>
</sst>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%"/>
    <numFmt numFmtId="167" formatCode="0.0\x"/>
    <numFmt numFmtId="168" formatCode="#,##0.00"/>
    <numFmt numFmtId="169" formatCode="0.00%"/>
    <numFmt numFmtId="170" formatCode="0.0000"/>
    <numFmt numFmtId="171" formatCode="0.00"/>
    <numFmt numFmtId="172" formatCode="0.0%"/>
    <numFmt numFmtId="173" formatCode="m/d/yyyy"/>
    <numFmt numFmtId="174" formatCode="0.000"/>
    <numFmt numFmtId="175" formatCode="0.0000%"/>
    <numFmt numFmtId="17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404040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15" hidden="false" customHeight="false" outlineLevel="0" collapsed="false">
      <c r="A4" s="5" t="s">
        <v>16</v>
      </c>
    </row>
    <row r="6" customFormat="false" ht="15" hidden="false" customHeight="false" outlineLevel="0" collapsed="false">
      <c r="A6" s="6" t="s">
        <v>17</v>
      </c>
      <c r="B6" s="7"/>
      <c r="C6" s="7"/>
      <c r="D6" s="7"/>
    </row>
    <row r="7" customFormat="false" ht="15" hidden="false" customHeight="false" outlineLevel="0" collapsed="false">
      <c r="A7" s="3" t="s">
        <v>18</v>
      </c>
      <c r="B7" s="8" t="n">
        <v>1000</v>
      </c>
    </row>
    <row r="8" customFormat="false" ht="15" hidden="false" customHeight="false" outlineLevel="0" collapsed="false">
      <c r="A8" s="3" t="s">
        <v>19</v>
      </c>
      <c r="B8" s="8" t="n">
        <v>600</v>
      </c>
    </row>
    <row r="9" customFormat="false" ht="15" hidden="false" customHeight="false" outlineLevel="0" collapsed="false">
      <c r="A9" s="3" t="s">
        <v>20</v>
      </c>
      <c r="B9" s="8" t="n">
        <v>100</v>
      </c>
    </row>
    <row r="10" customFormat="false" ht="15" hidden="false" customHeight="false" outlineLevel="0" collapsed="false">
      <c r="A10" s="3" t="s">
        <v>21</v>
      </c>
      <c r="B10" s="8" t="n">
        <v>60</v>
      </c>
    </row>
    <row r="11" customFormat="false" ht="15" hidden="false" customHeight="false" outlineLevel="0" collapsed="false">
      <c r="A11" s="3" t="s">
        <v>22</v>
      </c>
      <c r="B11" s="8" t="n">
        <v>25</v>
      </c>
    </row>
    <row r="12" customFormat="false" ht="15" hidden="false" customHeight="false" outlineLevel="0" collapsed="false">
      <c r="A12" s="3" t="s">
        <v>23</v>
      </c>
      <c r="B12" s="9" t="n">
        <v>0.21</v>
      </c>
    </row>
    <row r="13" customFormat="false" ht="15" hidden="false" customHeight="false" outlineLevel="0" collapsed="false">
      <c r="A13" s="3" t="s">
        <v>24</v>
      </c>
      <c r="B13" s="8" t="n">
        <v>60</v>
      </c>
    </row>
    <row r="14" customFormat="false" ht="15" hidden="false" customHeight="false" outlineLevel="0" collapsed="false">
      <c r="A14" s="3" t="s">
        <v>25</v>
      </c>
      <c r="B14" s="8" t="n">
        <v>1200</v>
      </c>
    </row>
    <row r="15" customFormat="false" ht="15" hidden="false" customHeight="false" outlineLevel="0" collapsed="false">
      <c r="A15" s="3" t="s">
        <v>26</v>
      </c>
      <c r="B15" s="8" t="n">
        <v>500</v>
      </c>
    </row>
    <row r="16" customFormat="false" ht="15" hidden="false" customHeight="false" outlineLevel="0" collapsed="false">
      <c r="A16" s="3" t="s">
        <v>27</v>
      </c>
      <c r="B16" s="8" t="n">
        <v>0</v>
      </c>
    </row>
    <row r="17" customFormat="false" ht="15" hidden="false" customHeight="false" outlineLevel="0" collapsed="false">
      <c r="A17" s="3" t="s">
        <v>28</v>
      </c>
      <c r="B17" s="10" t="n">
        <v>8</v>
      </c>
    </row>
    <row r="19" customFormat="false" ht="15" hidden="false" customHeight="false" outlineLevel="0" collapsed="false">
      <c r="A19" s="6" t="s">
        <v>29</v>
      </c>
      <c r="B19" s="7"/>
      <c r="C19" s="7"/>
      <c r="D19" s="7"/>
    </row>
    <row r="20" customFormat="false" ht="15" hidden="false" customHeight="false" outlineLevel="0" collapsed="false">
      <c r="A20" s="11" t="s">
        <v>30</v>
      </c>
      <c r="B20" s="11" t="s">
        <v>31</v>
      </c>
      <c r="C20" s="11" t="s">
        <v>32</v>
      </c>
      <c r="D20" s="11" t="s">
        <v>33</v>
      </c>
    </row>
    <row r="21" customFormat="false" ht="15" hidden="false" customHeight="false" outlineLevel="0" collapsed="false">
      <c r="A21" s="3" t="s">
        <v>34</v>
      </c>
      <c r="B21" s="12" t="n">
        <f aca="false">$B$7-$B$8</f>
        <v>400</v>
      </c>
      <c r="C21" s="13" t="s">
        <v>35</v>
      </c>
    </row>
    <row r="22" customFormat="false" ht="15" hidden="false" customHeight="false" outlineLevel="0" collapsed="false">
      <c r="A22" s="3" t="s">
        <v>36</v>
      </c>
      <c r="B22" s="12" t="n">
        <f aca="false">$B$21-$B$9</f>
        <v>300</v>
      </c>
      <c r="C22" s="13" t="s">
        <v>37</v>
      </c>
    </row>
    <row r="23" customFormat="false" ht="15" hidden="false" customHeight="false" outlineLevel="0" collapsed="false">
      <c r="A23" s="3" t="s">
        <v>38</v>
      </c>
      <c r="B23" s="12" t="n">
        <f aca="false">$B$22-$B$10</f>
        <v>240</v>
      </c>
      <c r="C23" s="13" t="s">
        <v>39</v>
      </c>
    </row>
    <row r="24" customFormat="false" ht="15" hidden="false" customHeight="false" outlineLevel="0" collapsed="false">
      <c r="A24" s="3" t="s">
        <v>40</v>
      </c>
      <c r="B24" s="12" t="n">
        <f aca="false">$B$23-$B$11</f>
        <v>215</v>
      </c>
      <c r="C24" s="13" t="s">
        <v>41</v>
      </c>
    </row>
    <row r="25" customFormat="false" ht="15" hidden="false" customHeight="false" outlineLevel="0" collapsed="false">
      <c r="A25" s="3" t="s">
        <v>42</v>
      </c>
      <c r="B25" s="12" t="n">
        <f aca="false">$B$12*$B$24</f>
        <v>45.15</v>
      </c>
      <c r="C25" s="13" t="s">
        <v>43</v>
      </c>
    </row>
    <row r="26" customFormat="false" ht="15" hidden="false" customHeight="false" outlineLevel="0" collapsed="false">
      <c r="A26" s="3" t="s">
        <v>44</v>
      </c>
      <c r="B26" s="12" t="n">
        <f aca="false">$B$24-$B$25</f>
        <v>169.85</v>
      </c>
      <c r="C26" s="13" t="s">
        <v>45</v>
      </c>
    </row>
    <row r="27" customFormat="false" ht="15" hidden="false" customHeight="false" outlineLevel="0" collapsed="false">
      <c r="A27" s="3" t="s">
        <v>46</v>
      </c>
      <c r="B27" s="12" t="n">
        <f aca="false">$B$26-$B$13</f>
        <v>109.85</v>
      </c>
      <c r="C27" s="13" t="s">
        <v>47</v>
      </c>
    </row>
    <row r="28" customFormat="false" ht="15" hidden="false" customHeight="false" outlineLevel="0" collapsed="false">
      <c r="A28" s="3" t="s">
        <v>48</v>
      </c>
      <c r="B28" s="12" t="n">
        <f aca="false">$B$15+$B$14</f>
        <v>1700</v>
      </c>
      <c r="C28" s="13" t="s">
        <v>49</v>
      </c>
      <c r="D28" s="5" t="s">
        <v>50</v>
      </c>
    </row>
    <row r="30" customFormat="false" ht="15" hidden="false" customHeight="false" outlineLevel="0" collapsed="false">
      <c r="A30" s="6" t="s">
        <v>51</v>
      </c>
      <c r="B30" s="7"/>
      <c r="C30" s="7"/>
      <c r="D30" s="7"/>
    </row>
    <row r="31" customFormat="false" ht="15" hidden="false" customHeight="false" outlineLevel="0" collapsed="false">
      <c r="A31" s="11" t="s">
        <v>52</v>
      </c>
      <c r="B31" s="11" t="s">
        <v>53</v>
      </c>
      <c r="C31" s="11" t="s">
        <v>32</v>
      </c>
      <c r="D31" s="11" t="s">
        <v>54</v>
      </c>
    </row>
    <row r="32" customFormat="false" ht="15" hidden="false" customHeight="false" outlineLevel="0" collapsed="false">
      <c r="A32" s="14" t="s">
        <v>55</v>
      </c>
      <c r="B32" s="15" t="n">
        <f aca="false">$B$21/$B$7</f>
        <v>0.4</v>
      </c>
      <c r="C32" s="13" t="s">
        <v>56</v>
      </c>
      <c r="D32" s="5" t="s">
        <v>57</v>
      </c>
    </row>
    <row r="33" customFormat="false" ht="15" hidden="false" customHeight="false" outlineLevel="0" collapsed="false">
      <c r="A33" s="14" t="s">
        <v>58</v>
      </c>
      <c r="B33" s="15" t="n">
        <f aca="false">$B$26/$B$14</f>
        <v>0.141541666666667</v>
      </c>
      <c r="C33" s="13" t="s">
        <v>59</v>
      </c>
      <c r="D33" s="5" t="s">
        <v>60</v>
      </c>
    </row>
    <row r="34" customFormat="false" ht="15" hidden="false" customHeight="false" outlineLevel="0" collapsed="false">
      <c r="A34" s="14" t="s">
        <v>61</v>
      </c>
      <c r="B34" s="15" t="n">
        <f aca="false">$B$26/$B$7</f>
        <v>0.16985</v>
      </c>
      <c r="C34" s="13" t="s">
        <v>62</v>
      </c>
      <c r="D34" s="5" t="s">
        <v>63</v>
      </c>
    </row>
    <row r="35" customFormat="false" ht="15" hidden="false" customHeight="false" outlineLevel="0" collapsed="false">
      <c r="A35" s="14" t="s">
        <v>64</v>
      </c>
      <c r="B35" s="16" t="n">
        <f aca="false">$B$7/$B$28</f>
        <v>0.588235294117647</v>
      </c>
      <c r="C35" s="13" t="s">
        <v>65</v>
      </c>
      <c r="D35" s="5" t="s">
        <v>66</v>
      </c>
    </row>
    <row r="36" customFormat="false" ht="15" hidden="false" customHeight="false" outlineLevel="0" collapsed="false">
      <c r="A36" s="14" t="s">
        <v>67</v>
      </c>
      <c r="B36" s="16" t="n">
        <f aca="false">$B$28/$B$14</f>
        <v>1.41666666666667</v>
      </c>
      <c r="C36" s="13" t="s">
        <v>68</v>
      </c>
      <c r="D36" s="5" t="s">
        <v>69</v>
      </c>
    </row>
    <row r="37" customFormat="false" ht="15" hidden="false" customHeight="false" outlineLevel="0" collapsed="false">
      <c r="A37" s="3" t="s">
        <v>70</v>
      </c>
      <c r="B37" s="17" t="n">
        <f aca="false">$B$34*$B$35*$B$36</f>
        <v>0.141541666666667</v>
      </c>
      <c r="C37" s="13" t="s">
        <v>71</v>
      </c>
      <c r="D37" s="5" t="s">
        <v>72</v>
      </c>
    </row>
    <row r="38" customFormat="false" ht="15" hidden="false" customHeight="false" outlineLevel="0" collapsed="false">
      <c r="A38" s="3" t="s">
        <v>73</v>
      </c>
      <c r="B38" s="18" t="n">
        <f aca="false">$B$27/$B$26</f>
        <v>0.64674712982043</v>
      </c>
      <c r="C38" s="13" t="s">
        <v>74</v>
      </c>
      <c r="D38" s="5" t="s">
        <v>75</v>
      </c>
    </row>
    <row r="39" customFormat="false" ht="15" hidden="false" customHeight="false" outlineLevel="0" collapsed="false">
      <c r="A39" s="3" t="s">
        <v>76</v>
      </c>
      <c r="B39" s="17" t="n">
        <f aca="false">$B$26/$B$28</f>
        <v>0.0999117647058824</v>
      </c>
      <c r="C39" s="13" t="s">
        <v>77</v>
      </c>
    </row>
    <row r="40" customFormat="false" ht="15" hidden="false" customHeight="false" outlineLevel="0" collapsed="false">
      <c r="A40" s="14" t="s">
        <v>78</v>
      </c>
      <c r="B40" s="15" t="n">
        <f aca="false">$B$33*$B$38</f>
        <v>0.0915416666666667</v>
      </c>
      <c r="C40" s="13" t="s">
        <v>79</v>
      </c>
      <c r="D40" s="5" t="s">
        <v>80</v>
      </c>
    </row>
    <row r="41" customFormat="false" ht="15" hidden="false" customHeight="false" outlineLevel="0" collapsed="false">
      <c r="A41" s="3" t="s">
        <v>81</v>
      </c>
      <c r="B41" s="17" t="n">
        <f aca="false">$B$33*$B$38/(1-$B$33*$B$38)</f>
        <v>0.100765949639958</v>
      </c>
      <c r="C41" s="13" t="s">
        <v>82</v>
      </c>
      <c r="D41" s="5" t="s">
        <v>83</v>
      </c>
    </row>
    <row r="42" customFormat="false" ht="15" hidden="false" customHeight="false" outlineLevel="0" collapsed="false">
      <c r="A42" s="14" t="s">
        <v>84</v>
      </c>
      <c r="B42" s="15" t="n">
        <f aca="false">$B$39*$B$38</f>
        <v>0.0646176470588235</v>
      </c>
      <c r="C42" s="13" t="s">
        <v>85</v>
      </c>
      <c r="D42" s="5" t="s">
        <v>86</v>
      </c>
    </row>
    <row r="43" customFormat="false" ht="15" hidden="false" customHeight="false" outlineLevel="0" collapsed="false">
      <c r="A43" s="3" t="s">
        <v>87</v>
      </c>
      <c r="B43" s="17" t="n">
        <f aca="false">$B$39*$B$38/(1-$B$39*$B$38)</f>
        <v>0.0690815331886929</v>
      </c>
      <c r="C43" s="13" t="s">
        <v>88</v>
      </c>
    </row>
    <row r="44" customFormat="false" ht="15" hidden="false" customHeight="false" outlineLevel="0" collapsed="false">
      <c r="A44" s="14" t="s">
        <v>89</v>
      </c>
      <c r="B44" s="19" t="n">
        <f aca="false">$B$17*$B$23</f>
        <v>1920</v>
      </c>
      <c r="C44" s="13" t="s">
        <v>90</v>
      </c>
      <c r="D44" s="5" t="s">
        <v>91</v>
      </c>
    </row>
    <row r="45" customFormat="false" ht="15" hidden="false" customHeight="false" outlineLevel="0" collapsed="false">
      <c r="A45" s="14" t="s">
        <v>92</v>
      </c>
      <c r="B45" s="19" t="n">
        <f aca="false">$B$44-$B$15+$B$16</f>
        <v>1420</v>
      </c>
      <c r="C45" s="13" t="s">
        <v>93</v>
      </c>
      <c r="D45" s="5" t="s">
        <v>94</v>
      </c>
    </row>
    <row r="46" customFormat="false" ht="15" hidden="false" customHeight="false" outlineLevel="0" collapsed="false">
      <c r="A46" s="14" t="s">
        <v>95</v>
      </c>
      <c r="B46" s="20" t="n">
        <f aca="false">$B$45/$B$26</f>
        <v>8.36031792758316</v>
      </c>
      <c r="C46" s="13" t="s">
        <v>96</v>
      </c>
      <c r="D46" s="5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12" min="3" style="0" width="12"/>
  </cols>
  <sheetData>
    <row r="1" customFormat="false" ht="17.35" hidden="false" customHeight="false" outlineLevel="0" collapsed="false">
      <c r="A1" s="1" t="s">
        <v>98</v>
      </c>
    </row>
    <row r="3" customFormat="false" ht="15" hidden="false" customHeight="false" outlineLevel="0" collapsed="false">
      <c r="A3" s="5" t="s">
        <v>99</v>
      </c>
    </row>
    <row r="5" customFormat="false" ht="15" hidden="false" customHeight="false" outlineLevel="0" collapsed="false">
      <c r="A5" s="3" t="s">
        <v>100</v>
      </c>
      <c r="B5" s="21" t="n">
        <v>0.1</v>
      </c>
    </row>
    <row r="7" customFormat="false" ht="15" hidden="false" customHeight="false" outlineLevel="0" collapsed="false">
      <c r="A7" s="4" t="s">
        <v>101</v>
      </c>
      <c r="B7" s="22" t="n">
        <v>0</v>
      </c>
      <c r="C7" s="22" t="n">
        <v>1</v>
      </c>
      <c r="D7" s="22" t="n">
        <v>2</v>
      </c>
      <c r="E7" s="22" t="n">
        <v>3</v>
      </c>
      <c r="F7" s="22" t="n">
        <v>4</v>
      </c>
      <c r="G7" s="22" t="n">
        <v>5</v>
      </c>
      <c r="H7" s="22" t="n">
        <v>6</v>
      </c>
      <c r="I7" s="22" t="n">
        <v>7</v>
      </c>
      <c r="J7" s="22" t="n">
        <v>8</v>
      </c>
      <c r="K7" s="22" t="n">
        <v>9</v>
      </c>
      <c r="L7" s="22" t="n">
        <v>10</v>
      </c>
    </row>
    <row r="8" customFormat="false" ht="15" hidden="false" customHeight="false" outlineLevel="0" collapsed="false">
      <c r="A8" s="3" t="s">
        <v>102</v>
      </c>
      <c r="B8" s="23" t="n">
        <v>0</v>
      </c>
      <c r="C8" s="23" t="n">
        <v>30</v>
      </c>
      <c r="D8" s="23" t="n">
        <v>30</v>
      </c>
      <c r="E8" s="23" t="n">
        <v>30</v>
      </c>
      <c r="F8" s="23" t="n">
        <v>30</v>
      </c>
      <c r="G8" s="23" t="n">
        <v>30</v>
      </c>
      <c r="H8" s="23" t="n">
        <v>30</v>
      </c>
      <c r="I8" s="23" t="n">
        <v>30</v>
      </c>
      <c r="J8" s="23" t="n">
        <v>30</v>
      </c>
      <c r="K8" s="23" t="n">
        <v>30</v>
      </c>
      <c r="L8" s="23" t="n">
        <v>30</v>
      </c>
    </row>
    <row r="9" customFormat="false" ht="15" hidden="false" customHeight="false" outlineLevel="0" collapsed="false">
      <c r="A9" s="3" t="s">
        <v>103</v>
      </c>
      <c r="B9" s="23" t="n">
        <v>0</v>
      </c>
      <c r="C9" s="23" t="n">
        <v>35</v>
      </c>
      <c r="D9" s="23" t="n">
        <v>35</v>
      </c>
      <c r="E9" s="23" t="n">
        <v>35</v>
      </c>
      <c r="F9" s="23" t="n">
        <v>35</v>
      </c>
      <c r="G9" s="23" t="n">
        <v>35</v>
      </c>
      <c r="H9" s="23" t="n">
        <v>35</v>
      </c>
      <c r="I9" s="23" t="n">
        <v>35</v>
      </c>
      <c r="J9" s="23" t="n">
        <v>35</v>
      </c>
      <c r="K9" s="23" t="n">
        <v>0</v>
      </c>
      <c r="L9" s="23" t="n">
        <v>0</v>
      </c>
    </row>
    <row r="10" customFormat="false" ht="15" hidden="false" customHeight="false" outlineLevel="0" collapsed="false">
      <c r="A10" s="3" t="s">
        <v>104</v>
      </c>
      <c r="B10" s="24" t="n">
        <f aca="false">1/(1+$B$5)^B7</f>
        <v>1</v>
      </c>
      <c r="C10" s="24" t="n">
        <f aca="false">1/(1+$B$5)^C7</f>
        <v>0.909090909090909</v>
      </c>
      <c r="D10" s="24" t="n">
        <f aca="false">1/(1+$B$5)^D7</f>
        <v>0.826446280991735</v>
      </c>
      <c r="E10" s="24" t="n">
        <f aca="false">1/(1+$B$5)^E7</f>
        <v>0.751314800901578</v>
      </c>
      <c r="F10" s="24" t="n">
        <f aca="false">1/(1+$B$5)^F7</f>
        <v>0.683013455365071</v>
      </c>
      <c r="G10" s="24" t="n">
        <f aca="false">1/(1+$B$5)^G7</f>
        <v>0.620921323059155</v>
      </c>
      <c r="H10" s="24" t="n">
        <f aca="false">1/(1+$B$5)^H7</f>
        <v>0.564473930053777</v>
      </c>
      <c r="I10" s="24" t="n">
        <f aca="false">1/(1+$B$5)^I7</f>
        <v>0.513158118230707</v>
      </c>
      <c r="J10" s="24" t="n">
        <f aca="false">1/(1+$B$5)^J7</f>
        <v>0.466507380209733</v>
      </c>
      <c r="K10" s="24" t="n">
        <f aca="false">1/(1+$B$5)^K7</f>
        <v>0.424097618372485</v>
      </c>
      <c r="L10" s="24" t="n">
        <f aca="false">1/(1+$B$5)^L7</f>
        <v>0.385543289429531</v>
      </c>
    </row>
    <row r="11" customFormat="false" ht="15" hidden="false" customHeight="false" outlineLevel="0" collapsed="false">
      <c r="A11" s="3" t="s">
        <v>105</v>
      </c>
      <c r="B11" s="25" t="n">
        <f aca="false">B8*B10</f>
        <v>0</v>
      </c>
      <c r="C11" s="25" t="n">
        <f aca="false">C8*C10</f>
        <v>27.2727272727273</v>
      </c>
      <c r="D11" s="25" t="n">
        <f aca="false">D8*D10</f>
        <v>24.7933884297521</v>
      </c>
      <c r="E11" s="25" t="n">
        <f aca="false">E8*E10</f>
        <v>22.5394440270473</v>
      </c>
      <c r="F11" s="25" t="n">
        <f aca="false">F8*F10</f>
        <v>20.4904036609521</v>
      </c>
      <c r="G11" s="25" t="n">
        <f aca="false">G8*G10</f>
        <v>18.6276396917746</v>
      </c>
      <c r="H11" s="25" t="n">
        <f aca="false">H8*H10</f>
        <v>16.9342179016133</v>
      </c>
      <c r="I11" s="25" t="n">
        <f aca="false">I8*I10</f>
        <v>15.3947435469212</v>
      </c>
      <c r="J11" s="25" t="n">
        <f aca="false">J8*J10</f>
        <v>13.995221406292</v>
      </c>
      <c r="K11" s="25" t="n">
        <f aca="false">K8*K10</f>
        <v>12.7229285511745</v>
      </c>
      <c r="L11" s="25" t="n">
        <f aca="false">L8*L10</f>
        <v>11.5662986828859</v>
      </c>
    </row>
    <row r="12" customFormat="false" ht="15" hidden="false" customHeight="false" outlineLevel="0" collapsed="false">
      <c r="A12" s="3" t="s">
        <v>106</v>
      </c>
      <c r="B12" s="25" t="n">
        <f aca="false">B9*B10</f>
        <v>0</v>
      </c>
      <c r="C12" s="25" t="n">
        <f aca="false">C9*C10</f>
        <v>31.8181818181818</v>
      </c>
      <c r="D12" s="25" t="n">
        <f aca="false">D9*D10</f>
        <v>28.9256198347107</v>
      </c>
      <c r="E12" s="25" t="n">
        <f aca="false">E9*E10</f>
        <v>26.2960180315552</v>
      </c>
      <c r="F12" s="25" t="n">
        <f aca="false">F9*F10</f>
        <v>23.9054709377775</v>
      </c>
      <c r="G12" s="25" t="n">
        <f aca="false">G9*G10</f>
        <v>21.7322463070704</v>
      </c>
      <c r="H12" s="25" t="n">
        <f aca="false">H9*H10</f>
        <v>19.7565875518822</v>
      </c>
      <c r="I12" s="25" t="n">
        <f aca="false">I9*I10</f>
        <v>17.9605341380747</v>
      </c>
      <c r="J12" s="25" t="n">
        <f aca="false">J9*J10</f>
        <v>16.3277583073407</v>
      </c>
      <c r="K12" s="25" t="n">
        <f aca="false">K9*K10</f>
        <v>0</v>
      </c>
      <c r="L12" s="25" t="n">
        <f aca="false">L9*L10</f>
        <v>0</v>
      </c>
    </row>
    <row r="13" customFormat="false" ht="15" hidden="false" customHeight="false" outlineLevel="0" collapsed="false">
      <c r="A13" s="3" t="s">
        <v>107</v>
      </c>
      <c r="B13" s="25" t="n">
        <f aca="false">B8*(1+$B$5)^(10-B7)</f>
        <v>0</v>
      </c>
      <c r="C13" s="25" t="n">
        <f aca="false">C8*(1+$B$5)^(10-C7)</f>
        <v>70.7384307300001</v>
      </c>
      <c r="D13" s="25" t="n">
        <f aca="false">D8*(1+$B$5)^(10-D7)</f>
        <v>64.3076643</v>
      </c>
      <c r="E13" s="25" t="n">
        <f aca="false">E8*(1+$B$5)^(10-E7)</f>
        <v>58.461513</v>
      </c>
      <c r="F13" s="25" t="n">
        <f aca="false">F8*(1+$B$5)^(10-F7)</f>
        <v>53.14683</v>
      </c>
      <c r="G13" s="25" t="n">
        <f aca="false">G8*(1+$B$5)^(10-G7)</f>
        <v>48.3153</v>
      </c>
      <c r="H13" s="25" t="n">
        <f aca="false">H8*(1+$B$5)^(10-H7)</f>
        <v>43.923</v>
      </c>
      <c r="I13" s="25" t="n">
        <f aca="false">I8*(1+$B$5)^(10-I7)</f>
        <v>39.93</v>
      </c>
      <c r="J13" s="25" t="n">
        <f aca="false">J8*(1+$B$5)^(10-J7)</f>
        <v>36.3</v>
      </c>
      <c r="K13" s="25" t="n">
        <f aca="false">K8*(1+$B$5)^(10-K7)</f>
        <v>33</v>
      </c>
      <c r="L13" s="25" t="n">
        <f aca="false">L8*(1+$B$5)^(10-L7)</f>
        <v>30</v>
      </c>
    </row>
    <row r="14" customFormat="false" ht="15" hidden="false" customHeight="false" outlineLevel="0" collapsed="false">
      <c r="A14" s="3" t="s">
        <v>108</v>
      </c>
      <c r="B14" s="25" t="n">
        <f aca="false">B9*(1+$B$5)^(10-B7)</f>
        <v>0</v>
      </c>
      <c r="C14" s="25" t="n">
        <f aca="false">C9*(1+$B$5)^(10-C7)</f>
        <v>82.5281691850001</v>
      </c>
      <c r="D14" s="25" t="n">
        <f aca="false">D9*(1+$B$5)^(10-D7)</f>
        <v>75.0256083500001</v>
      </c>
      <c r="E14" s="25" t="n">
        <f aca="false">E9*(1+$B$5)^(10-E7)</f>
        <v>68.2050985000001</v>
      </c>
      <c r="F14" s="25" t="n">
        <f aca="false">F9*(1+$B$5)^(10-F7)</f>
        <v>62.004635</v>
      </c>
      <c r="G14" s="25" t="n">
        <f aca="false">G9*(1+$B$5)^(10-G7)</f>
        <v>56.36785</v>
      </c>
      <c r="H14" s="25" t="n">
        <f aca="false">H9*(1+$B$5)^(10-H7)</f>
        <v>51.2435</v>
      </c>
      <c r="I14" s="25" t="n">
        <f aca="false">I9*(1+$B$5)^(10-I7)</f>
        <v>46.585</v>
      </c>
      <c r="J14" s="25" t="n">
        <f aca="false">J9*(1+$B$5)^(10-J7)</f>
        <v>42.35</v>
      </c>
      <c r="K14" s="25" t="n">
        <f aca="false">K9*(1+$B$5)^(10-K7)</f>
        <v>0</v>
      </c>
      <c r="L14" s="25" t="n">
        <f aca="false">L9*(1+$B$5)^(10-L7)</f>
        <v>0</v>
      </c>
    </row>
    <row r="16" customFormat="false" ht="15" hidden="false" customHeight="false" outlineLevel="0" collapsed="false">
      <c r="A16" s="6" t="s">
        <v>109</v>
      </c>
      <c r="B16" s="7"/>
      <c r="C16" s="7"/>
      <c r="D16" s="7"/>
    </row>
    <row r="17" customFormat="false" ht="15" hidden="false" customHeight="false" outlineLevel="0" collapsed="false">
      <c r="A17" s="4" t="s">
        <v>52</v>
      </c>
      <c r="B17" s="4" t="s">
        <v>53</v>
      </c>
      <c r="D17" s="4" t="s">
        <v>32</v>
      </c>
    </row>
    <row r="18" customFormat="false" ht="15" hidden="false" customHeight="false" outlineLevel="0" collapsed="false">
      <c r="A18" s="14" t="s">
        <v>110</v>
      </c>
      <c r="B18" s="19" t="n">
        <f aca="false">SUM(B8:L8)</f>
        <v>300</v>
      </c>
      <c r="D18" s="13" t="s">
        <v>111</v>
      </c>
    </row>
    <row r="19" customFormat="false" ht="15" hidden="false" customHeight="false" outlineLevel="0" collapsed="false">
      <c r="A19" s="14" t="s">
        <v>112</v>
      </c>
      <c r="B19" s="19" t="n">
        <f aca="false">SUM(B9:L9)</f>
        <v>280</v>
      </c>
      <c r="D19" s="13" t="s">
        <v>113</v>
      </c>
    </row>
    <row r="20" customFormat="false" ht="15" hidden="false" customHeight="false" outlineLevel="0" collapsed="false">
      <c r="A20" s="14" t="s">
        <v>114</v>
      </c>
      <c r="B20" s="19" t="n">
        <f aca="false">SUM(B11:L11)</f>
        <v>184.33701317114</v>
      </c>
      <c r="D20" s="13" t="s">
        <v>115</v>
      </c>
    </row>
    <row r="21" customFormat="false" ht="15" hidden="false" customHeight="false" outlineLevel="0" collapsed="false">
      <c r="A21" s="3" t="s">
        <v>116</v>
      </c>
      <c r="B21" s="12" t="n">
        <f aca="false">SUMPRODUCT(B8:L8,B10:L10)</f>
        <v>184.33701317114</v>
      </c>
      <c r="D21" s="13" t="s">
        <v>117</v>
      </c>
    </row>
    <row r="22" customFormat="false" ht="15" hidden="false" customHeight="false" outlineLevel="0" collapsed="false">
      <c r="A22" s="3" t="s">
        <v>118</v>
      </c>
      <c r="B22" s="12" t="n">
        <f aca="false">PV($B$5,10,-30)</f>
        <v>184.337013171141</v>
      </c>
      <c r="D22" s="13" t="s">
        <v>119</v>
      </c>
    </row>
    <row r="23" customFormat="false" ht="15" hidden="false" customHeight="false" outlineLevel="0" collapsed="false">
      <c r="A23" s="3" t="s">
        <v>120</v>
      </c>
      <c r="B23" s="12" t="n">
        <f aca="false">B8+NPV($B$5,C8:L8)</f>
        <v>184.33701317114</v>
      </c>
      <c r="D23" s="13" t="s">
        <v>121</v>
      </c>
    </row>
    <row r="24" customFormat="false" ht="15" hidden="false" customHeight="false" outlineLevel="0" collapsed="false">
      <c r="A24" s="14" t="s">
        <v>122</v>
      </c>
      <c r="B24" s="19" t="n">
        <f aca="false">SUM(B12:L12)</f>
        <v>186.722416926593</v>
      </c>
      <c r="D24" s="13" t="s">
        <v>123</v>
      </c>
    </row>
    <row r="25" customFormat="false" ht="15" hidden="false" customHeight="false" outlineLevel="0" collapsed="false">
      <c r="A25" s="3" t="s">
        <v>124</v>
      </c>
      <c r="B25" s="12" t="n">
        <f aca="false">PV($B$5,8,-35)</f>
        <v>186.722416926593</v>
      </c>
      <c r="D25" s="13" t="s">
        <v>125</v>
      </c>
    </row>
    <row r="26" customFormat="false" ht="15" hidden="false" customHeight="false" outlineLevel="0" collapsed="false">
      <c r="A26" s="14" t="s">
        <v>126</v>
      </c>
      <c r="B26" s="19" t="n">
        <f aca="false">SUM(B13:L13)</f>
        <v>478.12273803</v>
      </c>
      <c r="D26" s="13" t="s">
        <v>127</v>
      </c>
    </row>
    <row r="27" customFormat="false" ht="15" hidden="false" customHeight="false" outlineLevel="0" collapsed="false">
      <c r="A27" s="3" t="s">
        <v>128</v>
      </c>
      <c r="B27" s="12" t="n">
        <f aca="false">FV($B$5,10,-30)</f>
        <v>478.122738030001</v>
      </c>
      <c r="D27" s="13" t="s">
        <v>129</v>
      </c>
    </row>
    <row r="28" customFormat="false" ht="15" hidden="false" customHeight="false" outlineLevel="0" collapsed="false">
      <c r="A28" s="3" t="s">
        <v>130</v>
      </c>
      <c r="B28" s="12" t="n">
        <f aca="false">B20*(1+$B$5)^10</f>
        <v>478.12273803</v>
      </c>
      <c r="D28" s="13" t="s">
        <v>131</v>
      </c>
    </row>
    <row r="29" customFormat="false" ht="15" hidden="false" customHeight="false" outlineLevel="0" collapsed="false">
      <c r="A29" s="14" t="s">
        <v>132</v>
      </c>
      <c r="B29" s="19" t="n">
        <f aca="false">SUM(B14:L14)</f>
        <v>484.309861035</v>
      </c>
      <c r="D29" s="13" t="s">
        <v>133</v>
      </c>
    </row>
    <row r="30" customFormat="false" ht="15" hidden="false" customHeight="false" outlineLevel="0" collapsed="false">
      <c r="A30" s="3" t="s">
        <v>134</v>
      </c>
      <c r="B30" s="12" t="n">
        <f aca="false">FV($B$5,8,-35)*(1+$B$5)^2</f>
        <v>484.309861035001</v>
      </c>
      <c r="D30" s="13" t="s">
        <v>135</v>
      </c>
    </row>
    <row r="32" customFormat="false" ht="15" hidden="false" customHeight="false" outlineLevel="0" collapsed="false">
      <c r="A32" s="5" t="s">
        <v>136</v>
      </c>
    </row>
    <row r="33" customFormat="false" ht="15" hidden="false" customHeight="false" outlineLevel="0" collapsed="false">
      <c r="A33" s="5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50"/>
    <col collapsed="false" customWidth="true" hidden="false" outlineLevel="0" max="7" min="5" style="0" width="12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15" hidden="false" customHeight="false" outlineLevel="0" collapsed="false">
      <c r="A4" s="5" t="s">
        <v>16</v>
      </c>
    </row>
    <row r="6" customFormat="false" ht="15" hidden="false" customHeight="false" outlineLevel="0" collapsed="false">
      <c r="A6" s="6" t="s">
        <v>140</v>
      </c>
      <c r="B6" s="7"/>
      <c r="C6" s="7"/>
      <c r="D6" s="7"/>
    </row>
    <row r="7" customFormat="false" ht="15" hidden="false" customHeight="false" outlineLevel="0" collapsed="false">
      <c r="A7" s="3" t="s">
        <v>141</v>
      </c>
      <c r="B7" s="26" t="n">
        <v>45937</v>
      </c>
      <c r="C7" s="5" t="s">
        <v>142</v>
      </c>
    </row>
    <row r="8" customFormat="false" ht="15" hidden="false" customHeight="false" outlineLevel="0" collapsed="false">
      <c r="A8" s="3" t="s">
        <v>143</v>
      </c>
      <c r="B8" s="23" t="n">
        <v>2</v>
      </c>
    </row>
    <row r="9" customFormat="false" ht="15" hidden="false" customHeight="false" outlineLevel="0" collapsed="false">
      <c r="A9" s="3" t="s">
        <v>144</v>
      </c>
      <c r="B9" s="23" t="n">
        <v>100</v>
      </c>
    </row>
    <row r="10" customFormat="false" ht="15" hidden="false" customHeight="false" outlineLevel="0" collapsed="false">
      <c r="A10" s="3" t="s">
        <v>145</v>
      </c>
      <c r="B10" s="26" t="n">
        <v>49536</v>
      </c>
    </row>
    <row r="11" customFormat="false" ht="15" hidden="false" customHeight="false" outlineLevel="0" collapsed="false">
      <c r="A11" s="3" t="s">
        <v>146</v>
      </c>
      <c r="B11" s="27" t="n">
        <v>0.04</v>
      </c>
    </row>
    <row r="12" customFormat="false" ht="15" hidden="false" customHeight="false" outlineLevel="0" collapsed="false">
      <c r="A12" s="3" t="s">
        <v>147</v>
      </c>
      <c r="B12" s="28" t="n">
        <v>98</v>
      </c>
    </row>
    <row r="13" customFormat="false" ht="15" hidden="false" customHeight="false" outlineLevel="0" collapsed="false">
      <c r="A13" s="3" t="s">
        <v>148</v>
      </c>
      <c r="B13" s="23" t="n">
        <v>1</v>
      </c>
    </row>
    <row r="14" customFormat="false" ht="15" hidden="false" customHeight="false" outlineLevel="0" collapsed="false">
      <c r="A14" s="3" t="s">
        <v>149</v>
      </c>
      <c r="B14" s="26" t="n">
        <v>49567</v>
      </c>
    </row>
    <row r="15" customFormat="false" ht="15" hidden="false" customHeight="false" outlineLevel="0" collapsed="false">
      <c r="A15" s="3" t="s">
        <v>150</v>
      </c>
      <c r="B15" s="27" t="n">
        <v>0.05</v>
      </c>
    </row>
    <row r="16" customFormat="false" ht="15" hidden="false" customHeight="false" outlineLevel="0" collapsed="false">
      <c r="A16" s="3" t="s">
        <v>151</v>
      </c>
      <c r="B16" s="23" t="n">
        <v>0</v>
      </c>
    </row>
    <row r="17" customFormat="false" ht="15" hidden="false" customHeight="false" outlineLevel="0" collapsed="false">
      <c r="A17" s="3" t="s">
        <v>152</v>
      </c>
      <c r="B17" s="27" t="n">
        <v>0.01</v>
      </c>
      <c r="C17" s="5" t="s">
        <v>153</v>
      </c>
    </row>
    <row r="19" customFormat="false" ht="15" hidden="false" customHeight="false" outlineLevel="0" collapsed="false">
      <c r="A19" s="6" t="s">
        <v>51</v>
      </c>
      <c r="B19" s="7"/>
      <c r="C19" s="7"/>
      <c r="D19" s="7"/>
    </row>
    <row r="20" customFormat="false" ht="15" hidden="false" customHeight="false" outlineLevel="0" collapsed="false">
      <c r="A20" s="11" t="s">
        <v>52</v>
      </c>
      <c r="B20" s="11" t="s">
        <v>53</v>
      </c>
      <c r="C20" s="11" t="s">
        <v>32</v>
      </c>
      <c r="D20" s="11" t="s">
        <v>54</v>
      </c>
    </row>
    <row r="21" customFormat="false" ht="15" hidden="false" customHeight="false" outlineLevel="0" collapsed="false">
      <c r="A21" s="14" t="s">
        <v>154</v>
      </c>
      <c r="B21" s="29" t="n">
        <f aca="false">YIELD($B$7,$B$10,$B$11,$B$12,$B$9,$B$8,$B$13)</f>
        <v>0.0424995885074691</v>
      </c>
      <c r="C21" s="13" t="s">
        <v>155</v>
      </c>
      <c r="D21" s="5" t="s">
        <v>156</v>
      </c>
    </row>
    <row r="22" customFormat="false" ht="15" hidden="false" customHeight="false" outlineLevel="0" collapsed="false">
      <c r="A22" s="14" t="s">
        <v>157</v>
      </c>
      <c r="B22" s="29" t="n">
        <f aca="false">$B$21+$B$17</f>
        <v>0.0524995885074691</v>
      </c>
      <c r="C22" s="13" t="s">
        <v>158</v>
      </c>
      <c r="D22" s="5" t="s">
        <v>159</v>
      </c>
    </row>
    <row r="23" customFormat="false" ht="15" hidden="false" customHeight="false" outlineLevel="0" collapsed="false">
      <c r="A23" s="14" t="s">
        <v>160</v>
      </c>
      <c r="B23" s="16" t="n">
        <f aca="false">PRICE($B$7,$B$14,$B$15,$B$22,$B$9,$B$8,$B$16)</f>
        <v>98.080011856613</v>
      </c>
      <c r="C23" s="13" t="s">
        <v>161</v>
      </c>
      <c r="D23" s="5" t="s">
        <v>162</v>
      </c>
    </row>
    <row r="24" customFormat="false" ht="15" hidden="false" customHeight="false" outlineLevel="0" collapsed="false">
      <c r="A24" s="3" t="s">
        <v>163</v>
      </c>
      <c r="B24" s="30" t="n">
        <f aca="false">COUPPCD($B$7,$B$14,$B$8,$B$16)</f>
        <v>45915</v>
      </c>
      <c r="C24" s="13" t="s">
        <v>164</v>
      </c>
    </row>
    <row r="25" customFormat="false" ht="15" hidden="false" customHeight="false" outlineLevel="0" collapsed="false">
      <c r="A25" s="3" t="s">
        <v>165</v>
      </c>
      <c r="B25" s="30" t="n">
        <f aca="false">COUPNCD($B$7,$B$14,$B$8,$B$16)</f>
        <v>46096</v>
      </c>
      <c r="C25" s="13" t="s">
        <v>166</v>
      </c>
    </row>
    <row r="26" customFormat="false" ht="15" hidden="false" customHeight="false" outlineLevel="0" collapsed="false">
      <c r="A26" s="3" t="s">
        <v>167</v>
      </c>
      <c r="B26" s="31" t="n">
        <f aca="false">COUPDAYBS($B$7,$B$14,$B$8,$B$16)</f>
        <v>22</v>
      </c>
      <c r="C26" s="13" t="s">
        <v>168</v>
      </c>
      <c r="D26" s="5" t="s">
        <v>169</v>
      </c>
    </row>
    <row r="27" customFormat="false" ht="15" hidden="false" customHeight="false" outlineLevel="0" collapsed="false">
      <c r="A27" s="3" t="s">
        <v>170</v>
      </c>
      <c r="B27" s="31" t="n">
        <f aca="false">COUPDAYS($B$7,$B$14,$B$8,$B$16)</f>
        <v>180</v>
      </c>
      <c r="C27" s="13" t="s">
        <v>171</v>
      </c>
      <c r="D27" s="5" t="s">
        <v>172</v>
      </c>
    </row>
    <row r="28" customFormat="false" ht="15" hidden="false" customHeight="false" outlineLevel="0" collapsed="false">
      <c r="A28" s="3" t="s">
        <v>173</v>
      </c>
      <c r="B28" s="31" t="n">
        <f aca="false">COUPDAYSNC($B$7,$B$14,$B$8,$B$16)</f>
        <v>158</v>
      </c>
      <c r="C28" s="13" t="s">
        <v>174</v>
      </c>
    </row>
    <row r="29" customFormat="false" ht="15" hidden="false" customHeight="false" outlineLevel="0" collapsed="false">
      <c r="A29" s="3" t="s">
        <v>175</v>
      </c>
      <c r="B29" s="31" t="n">
        <f aca="false">COUPNUM($B$7,$B$14,$B$8,$B$16)</f>
        <v>20</v>
      </c>
      <c r="C29" s="13" t="s">
        <v>176</v>
      </c>
    </row>
    <row r="30" customFormat="false" ht="15" hidden="false" customHeight="false" outlineLevel="0" collapsed="false">
      <c r="A30" s="14" t="s">
        <v>177</v>
      </c>
      <c r="B30" s="16" t="n">
        <f aca="false">$B$15*100/$B$8*$B$26/$B$27</f>
        <v>0.305555555555556</v>
      </c>
      <c r="C30" s="13" t="s">
        <v>178</v>
      </c>
      <c r="D30" s="5" t="s">
        <v>179</v>
      </c>
    </row>
    <row r="31" customFormat="false" ht="15" hidden="false" customHeight="false" outlineLevel="0" collapsed="false">
      <c r="A31" s="3" t="s">
        <v>180</v>
      </c>
      <c r="B31" s="18" t="n">
        <f aca="false">ACCRINT($B$24,COUPNCD($B$7,$B$14,$B$8,$B$16),$B$7,$B$15,100,$B$8,$B$16)</f>
        <v>0.305555555555556</v>
      </c>
      <c r="C31" s="13" t="s">
        <v>181</v>
      </c>
      <c r="D31" s="5" t="s">
        <v>182</v>
      </c>
    </row>
    <row r="32" customFormat="false" ht="15" hidden="false" customHeight="false" outlineLevel="0" collapsed="false">
      <c r="A32" s="14" t="s">
        <v>183</v>
      </c>
      <c r="B32" s="16" t="n">
        <f aca="false">$B$23+$B$30</f>
        <v>98.3855674121685</v>
      </c>
      <c r="C32" s="13" t="s">
        <v>184</v>
      </c>
      <c r="D32" s="5" t="s">
        <v>185</v>
      </c>
    </row>
    <row r="33" customFormat="false" ht="15" hidden="false" customHeight="false" outlineLevel="0" collapsed="false">
      <c r="A33" s="14" t="s">
        <v>186</v>
      </c>
      <c r="B33" s="16" t="n">
        <f aca="false">DURATION($B$7,$B$14,$B$15,$B$22,$B$8,$B$16)</f>
        <v>7.90500163243825</v>
      </c>
      <c r="C33" s="13" t="s">
        <v>187</v>
      </c>
      <c r="D33" s="5" t="s">
        <v>188</v>
      </c>
    </row>
    <row r="34" customFormat="false" ht="15" hidden="false" customHeight="false" outlineLevel="0" collapsed="false">
      <c r="A34" s="14" t="s">
        <v>189</v>
      </c>
      <c r="B34" s="16" t="n">
        <f aca="false">MDURATION($B$7,$B$14,$B$15,$B$22,$B$8,$B$16)</f>
        <v>7.70280459660076</v>
      </c>
      <c r="C34" s="13" t="s">
        <v>190</v>
      </c>
      <c r="D34" s="5" t="s">
        <v>191</v>
      </c>
    </row>
    <row r="35" customFormat="false" ht="15" hidden="false" customHeight="false" outlineLevel="0" collapsed="false">
      <c r="A35" s="14" t="s">
        <v>192</v>
      </c>
      <c r="B35" s="15" t="n">
        <f aca="false">-$B$34*0.01</f>
        <v>-0.0770280459660076</v>
      </c>
      <c r="C35" s="13" t="s">
        <v>193</v>
      </c>
      <c r="D35" s="5" t="s">
        <v>194</v>
      </c>
    </row>
    <row r="36" customFormat="false" ht="15" hidden="false" customHeight="false" outlineLevel="0" collapsed="false">
      <c r="A36" s="3" t="s">
        <v>195</v>
      </c>
      <c r="B36" s="17" t="n">
        <f aca="false">(PRICE($B$7,$B$14,$B$15,$B$22+0.01,$B$9,$B$8,$B$16)+$B$30)/$B$32-1</f>
        <v>-0.0735369809148729</v>
      </c>
      <c r="C36" s="13" t="s">
        <v>196</v>
      </c>
      <c r="D36" s="5" t="s">
        <v>197</v>
      </c>
    </row>
    <row r="38" customFormat="false" ht="15" hidden="false" customHeight="false" outlineLevel="0" collapsed="false">
      <c r="A38" s="6" t="s">
        <v>198</v>
      </c>
      <c r="B38" s="7"/>
      <c r="C38" s="7"/>
      <c r="D38" s="7"/>
      <c r="E38" s="7"/>
      <c r="F38" s="7"/>
      <c r="G38" s="7"/>
    </row>
    <row r="39" customFormat="false" ht="15" hidden="false" customHeight="false" outlineLevel="0" collapsed="false">
      <c r="A39" s="5" t="s">
        <v>199</v>
      </c>
    </row>
    <row r="40" customFormat="false" ht="15" hidden="false" customHeight="false" outlineLevel="0" collapsed="false">
      <c r="A40" s="11" t="s">
        <v>200</v>
      </c>
      <c r="B40" s="11" t="s">
        <v>201</v>
      </c>
      <c r="C40" s="11" t="s">
        <v>202</v>
      </c>
      <c r="D40" s="11" t="s">
        <v>203</v>
      </c>
      <c r="E40" s="11" t="s">
        <v>204</v>
      </c>
      <c r="F40" s="11" t="s">
        <v>205</v>
      </c>
    </row>
    <row r="41" customFormat="false" ht="15" hidden="false" customHeight="false" outlineLevel="0" collapsed="false">
      <c r="A41" s="3" t="n">
        <v>1</v>
      </c>
      <c r="B41" s="24" t="n">
        <f aca="false">A41-1+$B$28/$B$27</f>
        <v>0.877777777777778</v>
      </c>
      <c r="C41" s="24" t="n">
        <f aca="false">B41/$B$8</f>
        <v>0.438888888888889</v>
      </c>
      <c r="D41" s="25" t="n">
        <f aca="false">$B$15*100/$B$8+IF(A41=$B$29,100,0)</f>
        <v>2.5</v>
      </c>
      <c r="E41" s="24" t="n">
        <f aca="false">D41/(1+$B$22/$B$8)^B41</f>
        <v>2.4437811042008</v>
      </c>
      <c r="F41" s="24" t="n">
        <f aca="false">C41*E41</f>
        <v>1.07254837351035</v>
      </c>
    </row>
    <row r="42" customFormat="false" ht="15" hidden="false" customHeight="false" outlineLevel="0" collapsed="false">
      <c r="A42" s="3" t="n">
        <v>2</v>
      </c>
      <c r="B42" s="24" t="n">
        <f aca="false">A42-1+$B$28/$B$27</f>
        <v>1.87777777777778</v>
      </c>
      <c r="C42" s="24" t="n">
        <f aca="false">B42/$B$8</f>
        <v>0.938888888888889</v>
      </c>
      <c r="D42" s="25" t="n">
        <f aca="false">$B$15*100/$B$8+IF(A42=$B$29,100,0)</f>
        <v>2.5</v>
      </c>
      <c r="E42" s="24" t="n">
        <f aca="false">D42/(1+$B$22/$B$8)^B42</f>
        <v>2.38127317333872</v>
      </c>
      <c r="F42" s="24" t="n">
        <f aca="false">C42*E42</f>
        <v>2.23575092385691</v>
      </c>
    </row>
    <row r="43" customFormat="false" ht="15" hidden="false" customHeight="false" outlineLevel="0" collapsed="false">
      <c r="A43" s="3" t="n">
        <v>3</v>
      </c>
      <c r="B43" s="24" t="n">
        <f aca="false">A43-1+$B$28/$B$27</f>
        <v>2.87777777777778</v>
      </c>
      <c r="C43" s="24" t="n">
        <f aca="false">B43/$B$8</f>
        <v>1.43888888888889</v>
      </c>
      <c r="D43" s="25" t="n">
        <f aca="false">$B$15*100/$B$8+IF(A43=$B$29,100,0)</f>
        <v>2.5</v>
      </c>
      <c r="E43" s="24" t="n">
        <f aca="false">D43/(1+$B$22/$B$8)^B43</f>
        <v>2.32036409329595</v>
      </c>
      <c r="F43" s="24" t="n">
        <f aca="false">C43*E43</f>
        <v>3.33874611202028</v>
      </c>
    </row>
    <row r="44" customFormat="false" ht="15" hidden="false" customHeight="false" outlineLevel="0" collapsed="false">
      <c r="A44" s="3" t="n">
        <v>4</v>
      </c>
      <c r="B44" s="24" t="n">
        <f aca="false">A44-1+$B$28/$B$27</f>
        <v>3.87777777777778</v>
      </c>
      <c r="C44" s="24" t="n">
        <f aca="false">B44/$B$8</f>
        <v>1.93888888888889</v>
      </c>
      <c r="D44" s="25" t="n">
        <f aca="false">$B$15*100/$B$8+IF(A44=$B$29,100,0)</f>
        <v>2.5</v>
      </c>
      <c r="E44" s="24" t="n">
        <f aca="false">D44/(1+$B$22/$B$8)^B44</f>
        <v>2.26101296807885</v>
      </c>
      <c r="F44" s="24" t="n">
        <f aca="false">C44*E44</f>
        <v>4.38385292144178</v>
      </c>
    </row>
    <row r="45" customFormat="false" ht="15" hidden="false" customHeight="false" outlineLevel="0" collapsed="false">
      <c r="A45" s="3" t="n">
        <v>5</v>
      </c>
      <c r="B45" s="24" t="n">
        <f aca="false">A45-1+$B$28/$B$27</f>
        <v>4.87777777777778</v>
      </c>
      <c r="C45" s="24" t="n">
        <f aca="false">B45/$B$8</f>
        <v>2.43888888888889</v>
      </c>
      <c r="D45" s="25" t="n">
        <f aca="false">$B$15*100/$B$8+IF(A45=$B$29,100,0)</f>
        <v>2.5</v>
      </c>
      <c r="E45" s="24" t="n">
        <f aca="false">D45/(1+$B$22/$B$8)^B45</f>
        <v>2.20317994774655</v>
      </c>
      <c r="F45" s="24" t="n">
        <f aca="false">C45*E45</f>
        <v>5.37331109478187</v>
      </c>
    </row>
    <row r="46" customFormat="false" ht="15" hidden="false" customHeight="false" outlineLevel="0" collapsed="false">
      <c r="A46" s="3" t="n">
        <v>6</v>
      </c>
      <c r="B46" s="24" t="n">
        <f aca="false">A46-1+$B$28/$B$27</f>
        <v>5.87777777777778</v>
      </c>
      <c r="C46" s="24" t="n">
        <f aca="false">B46/$B$8</f>
        <v>2.93888888888889</v>
      </c>
      <c r="D46" s="25" t="n">
        <f aca="false">$B$15*100/$B$8+IF(A46=$B$29,100,0)</f>
        <v>2.5</v>
      </c>
      <c r="E46" s="24" t="n">
        <f aca="false">D46/(1+$B$22/$B$8)^B46</f>
        <v>2.14682620165459</v>
      </c>
      <c r="F46" s="24" t="n">
        <f aca="false">C46*E46</f>
        <v>6.30928367041822</v>
      </c>
    </row>
    <row r="47" customFormat="false" ht="15" hidden="false" customHeight="false" outlineLevel="0" collapsed="false">
      <c r="A47" s="3" t="n">
        <v>7</v>
      </c>
      <c r="B47" s="24" t="n">
        <f aca="false">A47-1+$B$28/$B$27</f>
        <v>6.87777777777778</v>
      </c>
      <c r="C47" s="24" t="n">
        <f aca="false">B47/$B$8</f>
        <v>3.43888888888889</v>
      </c>
      <c r="D47" s="25" t="n">
        <f aca="false">$B$15*100/$B$8+IF(A47=$B$29,100,0)</f>
        <v>2.5</v>
      </c>
      <c r="E47" s="24" t="n">
        <f aca="false">D47/(1+$B$22/$B$8)^B47</f>
        <v>2.09191389238301</v>
      </c>
      <c r="F47" s="24" t="n">
        <f aca="false">C47*E47</f>
        <v>7.19385944102824</v>
      </c>
    </row>
    <row r="48" customFormat="false" ht="15" hidden="false" customHeight="false" outlineLevel="0" collapsed="false">
      <c r="A48" s="3" t="n">
        <v>8</v>
      </c>
      <c r="B48" s="24" t="n">
        <f aca="false">A48-1+$B$28/$B$27</f>
        <v>7.87777777777778</v>
      </c>
      <c r="C48" s="24" t="n">
        <f aca="false">B48/$B$8</f>
        <v>3.93888888888889</v>
      </c>
      <c r="D48" s="25" t="n">
        <f aca="false">$B$15*100/$B$8+IF(A48=$B$29,100,0)</f>
        <v>2.5</v>
      </c>
      <c r="E48" s="24" t="n">
        <f aca="false">D48/(1+$B$22/$B$8)^B48</f>
        <v>2.03840615033127</v>
      </c>
      <c r="F48" s="24" t="n">
        <f aca="false">C48*E48</f>
        <v>8.0290553365826</v>
      </c>
    </row>
    <row r="49" customFormat="false" ht="15" hidden="false" customHeight="false" outlineLevel="0" collapsed="false">
      <c r="A49" s="3" t="n">
        <v>9</v>
      </c>
      <c r="B49" s="24" t="n">
        <f aca="false">A49-1+$B$28/$B$27</f>
        <v>8.87777777777778</v>
      </c>
      <c r="C49" s="24" t="n">
        <f aca="false">B49/$B$8</f>
        <v>4.43888888888889</v>
      </c>
      <c r="D49" s="25" t="n">
        <f aca="false">$B$15*100/$B$8+IF(A49=$B$29,100,0)</f>
        <v>2.5</v>
      </c>
      <c r="E49" s="24" t="n">
        <f aca="false">D49/(1+$B$22/$B$8)^B49</f>
        <v>1.98626704896302</v>
      </c>
      <c r="F49" s="24" t="n">
        <f aca="false">C49*E49</f>
        <v>8.81681873400805</v>
      </c>
    </row>
    <row r="50" customFormat="false" ht="15" hidden="false" customHeight="false" outlineLevel="0" collapsed="false">
      <c r="A50" s="3" t="n">
        <v>10</v>
      </c>
      <c r="B50" s="24" t="n">
        <f aca="false">A50-1+$B$28/$B$27</f>
        <v>9.87777777777778</v>
      </c>
      <c r="C50" s="24" t="n">
        <f aca="false">B50/$B$8</f>
        <v>4.93888888888889</v>
      </c>
      <c r="D50" s="25" t="n">
        <f aca="false">$B$15*100/$B$8+IF(A50=$B$29,100,0)</f>
        <v>2.5</v>
      </c>
      <c r="E50" s="24" t="n">
        <f aca="false">D50/(1+$B$22/$B$8)^B50</f>
        <v>1.93546158068405</v>
      </c>
      <c r="F50" s="24" t="n">
        <f aca="false">C50*E50</f>
        <v>9.55902969571179</v>
      </c>
    </row>
    <row r="51" customFormat="false" ht="15" hidden="false" customHeight="false" outlineLevel="0" collapsed="false">
      <c r="A51" s="3" t="n">
        <v>11</v>
      </c>
      <c r="B51" s="24" t="n">
        <f aca="false">A51-1+$B$28/$B$27</f>
        <v>10.8777777777778</v>
      </c>
      <c r="C51" s="24" t="n">
        <f aca="false">B51/$B$8</f>
        <v>5.43888888888889</v>
      </c>
      <c r="D51" s="25" t="n">
        <f aca="false">$B$15*100/$B$8+IF(A51=$B$29,100,0)</f>
        <v>2.5</v>
      </c>
      <c r="E51" s="24" t="n">
        <f aca="false">D51/(1+$B$22/$B$8)^B51</f>
        <v>1.88595563333728</v>
      </c>
      <c r="F51" s="24" t="n">
        <f aca="false">C51*E51</f>
        <v>10.2575031390955</v>
      </c>
    </row>
    <row r="52" customFormat="false" ht="15" hidden="false" customHeight="false" outlineLevel="0" collapsed="false">
      <c r="A52" s="3" t="n">
        <v>12</v>
      </c>
      <c r="B52" s="24" t="n">
        <f aca="false">A52-1+$B$28/$B$27</f>
        <v>11.8777777777778</v>
      </c>
      <c r="C52" s="24" t="n">
        <f aca="false">B52/$B$8</f>
        <v>5.93888888888889</v>
      </c>
      <c r="D52" s="25" t="n">
        <f aca="false">$B$15*100/$B$8+IF(A52=$B$29,100,0)</f>
        <v>2.5</v>
      </c>
      <c r="E52" s="24" t="n">
        <f aca="false">D52/(1+$B$22/$B$8)^B52</f>
        <v>1.83771596729888</v>
      </c>
      <c r="F52" s="24" t="n">
        <f aca="false">C52*E52</f>
        <v>10.913990939125</v>
      </c>
    </row>
    <row r="53" customFormat="false" ht="15" hidden="false" customHeight="false" outlineLevel="0" collapsed="false">
      <c r="A53" s="3" t="n">
        <v>13</v>
      </c>
      <c r="B53" s="24" t="n">
        <f aca="false">A53-1+$B$28/$B$27</f>
        <v>12.8777777777778</v>
      </c>
      <c r="C53" s="24" t="n">
        <f aca="false">B53/$B$8</f>
        <v>6.43888888888889</v>
      </c>
      <c r="D53" s="25" t="n">
        <f aca="false">$B$15*100/$B$8+IF(A53=$B$29,100,0)</f>
        <v>2.5</v>
      </c>
      <c r="E53" s="24" t="n">
        <f aca="false">D53/(1+$B$22/$B$8)^B53</f>
        <v>1.79071019316035</v>
      </c>
      <c r="F53" s="24" t="n">
        <f aca="false">C53*E53</f>
        <v>11.5301839659603</v>
      </c>
    </row>
    <row r="54" customFormat="false" ht="15" hidden="false" customHeight="false" outlineLevel="0" collapsed="false">
      <c r="A54" s="3" t="n">
        <v>14</v>
      </c>
      <c r="B54" s="24" t="n">
        <f aca="false">A54-1+$B$28/$B$27</f>
        <v>13.8777777777778</v>
      </c>
      <c r="C54" s="24" t="n">
        <f aca="false">B54/$B$8</f>
        <v>6.93888888888889</v>
      </c>
      <c r="D54" s="25" t="n">
        <f aca="false">$B$15*100/$B$8+IF(A54=$B$29,100,0)</f>
        <v>2.5</v>
      </c>
      <c r="E54" s="24" t="n">
        <f aca="false">D54/(1+$B$22/$B$8)^B54</f>
        <v>1.74490674998139</v>
      </c>
      <c r="F54" s="24" t="n">
        <f aca="false">C54*E54</f>
        <v>12.1077140595931</v>
      </c>
    </row>
    <row r="55" customFormat="false" ht="15" hidden="false" customHeight="false" outlineLevel="0" collapsed="false">
      <c r="A55" s="3" t="n">
        <v>15</v>
      </c>
      <c r="B55" s="24" t="n">
        <f aca="false">A55-1+$B$28/$B$27</f>
        <v>14.8777777777778</v>
      </c>
      <c r="C55" s="24" t="n">
        <f aca="false">B55/$B$8</f>
        <v>7.43888888888889</v>
      </c>
      <c r="D55" s="25" t="n">
        <f aca="false">$B$15*100/$B$8+IF(A55=$B$29,100,0)</f>
        <v>2.5</v>
      </c>
      <c r="E55" s="24" t="n">
        <f aca="false">D55/(1+$B$22/$B$8)^B55</f>
        <v>1.700274884099</v>
      </c>
      <c r="F55" s="24" t="n">
        <f aca="false">C55*E55</f>
        <v>12.6481559433809</v>
      </c>
    </row>
    <row r="56" customFormat="false" ht="15" hidden="false" customHeight="false" outlineLevel="0" collapsed="false">
      <c r="A56" s="3" t="n">
        <v>16</v>
      </c>
      <c r="B56" s="24" t="n">
        <f aca="false">A56-1+$B$28/$B$27</f>
        <v>15.8777777777778</v>
      </c>
      <c r="C56" s="24" t="n">
        <f aca="false">B56/$B$8</f>
        <v>7.93888888888889</v>
      </c>
      <c r="D56" s="25" t="n">
        <f aca="false">$B$15*100/$B$8+IF(A56=$B$29,100,0)</f>
        <v>2.5</v>
      </c>
      <c r="E56" s="24" t="n">
        <f aca="false">D56/(1+$B$22/$B$8)^B56</f>
        <v>1.65678462847868</v>
      </c>
      <c r="F56" s="24" t="n">
        <f aca="false">C56*E56</f>
        <v>13.1530290783113</v>
      </c>
    </row>
    <row r="57" customFormat="false" ht="15" hidden="false" customHeight="false" outlineLevel="0" collapsed="false">
      <c r="A57" s="3" t="n">
        <v>17</v>
      </c>
      <c r="B57" s="24" t="n">
        <f aca="false">A57-1+$B$28/$B$27</f>
        <v>16.8777777777778</v>
      </c>
      <c r="C57" s="24" t="n">
        <f aca="false">B57/$B$8</f>
        <v>8.43888888888889</v>
      </c>
      <c r="D57" s="25" t="n">
        <f aca="false">$B$15*100/$B$8+IF(A57=$B$29,100,0)</f>
        <v>2.5</v>
      </c>
      <c r="E57" s="24" t="n">
        <f aca="false">D57/(1+$B$22/$B$8)^B57</f>
        <v>1.61440678259376</v>
      </c>
      <c r="F57" s="24" t="n">
        <f aca="false">C57*E57</f>
        <v>13.6237994597774</v>
      </c>
    </row>
    <row r="58" customFormat="false" ht="15" hidden="false" customHeight="false" outlineLevel="0" collapsed="false">
      <c r="A58" s="3" t="n">
        <v>18</v>
      </c>
      <c r="B58" s="24" t="n">
        <f aca="false">A58-1+$B$28/$B$27</f>
        <v>17.8777777777778</v>
      </c>
      <c r="C58" s="24" t="n">
        <f aca="false">B58/$B$8</f>
        <v>8.93888888888889</v>
      </c>
      <c r="D58" s="25" t="n">
        <f aca="false">$B$15*100/$B$8+IF(A58=$B$29,100,0)</f>
        <v>2.5</v>
      </c>
      <c r="E58" s="24" t="n">
        <f aca="false">D58/(1+$B$22/$B$8)^B58</f>
        <v>1.57311289281936</v>
      </c>
      <c r="F58" s="24" t="n">
        <f aca="false">C58*E58</f>
        <v>14.0618813585908</v>
      </c>
    </row>
    <row r="59" customFormat="false" ht="15" hidden="false" customHeight="false" outlineLevel="0" collapsed="false">
      <c r="A59" s="3" t="n">
        <v>19</v>
      </c>
      <c r="B59" s="24" t="n">
        <f aca="false">A59-1+$B$28/$B$27</f>
        <v>18.8777777777778</v>
      </c>
      <c r="C59" s="24" t="n">
        <f aca="false">B59/$B$8</f>
        <v>9.43888888888889</v>
      </c>
      <c r="D59" s="25" t="n">
        <f aca="false">$B$15*100/$B$8+IF(A59=$B$29,100,0)</f>
        <v>2.5</v>
      </c>
      <c r="E59" s="24" t="n">
        <f aca="false">D59/(1+$B$22/$B$8)^B59</f>
        <v>1.53287523332786</v>
      </c>
      <c r="F59" s="24" t="n">
        <f aca="false">C59*E59</f>
        <v>14.4686390079113</v>
      </c>
    </row>
    <row r="60" customFormat="false" ht="15" hidden="false" customHeight="false" outlineLevel="0" collapsed="false">
      <c r="A60" s="3" t="n">
        <v>20</v>
      </c>
      <c r="B60" s="24" t="n">
        <f aca="false">A60-1+$B$28/$B$27</f>
        <v>19.8777777777778</v>
      </c>
      <c r="C60" s="24" t="n">
        <f aca="false">B60/$B$8</f>
        <v>9.93888888888889</v>
      </c>
      <c r="D60" s="25" t="n">
        <f aca="false">$B$15*100/$B$8+IF(A60=$B$29,100,0)</f>
        <v>102.5</v>
      </c>
      <c r="E60" s="24" t="n">
        <f aca="false">D60/(1+$B$22/$B$8)^B60</f>
        <v>61.2403382863951</v>
      </c>
      <c r="F60" s="24" t="n">
        <f aca="false">C60*E60</f>
        <v>608.66091774645</v>
      </c>
    </row>
    <row r="61" customFormat="false" ht="15" hidden="false" customHeight="false" outlineLevel="0" collapsed="false">
      <c r="A61" s="4" t="s">
        <v>206</v>
      </c>
      <c r="B61" s="32" t="n">
        <f aca="false">SUM(E41:E60)</f>
        <v>98.3855674121685</v>
      </c>
      <c r="C61" s="13" t="s">
        <v>207</v>
      </c>
    </row>
    <row r="62" customFormat="false" ht="15" hidden="false" customHeight="false" outlineLevel="0" collapsed="false">
      <c r="A62" s="4" t="s">
        <v>208</v>
      </c>
      <c r="B62" s="32" t="n">
        <f aca="false">SUM(F41:F60)/SUM(E41:E60)</f>
        <v>7.90500163243825</v>
      </c>
      <c r="C62" s="13" t="s">
        <v>209</v>
      </c>
    </row>
    <row r="63" customFormat="false" ht="15" hidden="false" customHeight="false" outlineLevel="0" collapsed="false">
      <c r="A63" s="4" t="s">
        <v>210</v>
      </c>
      <c r="B63" s="32" t="n">
        <f aca="false">B62/(1+$B$22/$B$8)</f>
        <v>7.70280459660076</v>
      </c>
      <c r="C63" s="13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5" min="4" style="0" width="50"/>
  </cols>
  <sheetData>
    <row r="1" customFormat="false" ht="17.35" hidden="false" customHeight="false" outlineLevel="0" collapsed="false">
      <c r="A1" s="1" t="s">
        <v>212</v>
      </c>
    </row>
    <row r="2" customFormat="false" ht="15" hidden="false" customHeight="false" outlineLevel="0" collapsed="false">
      <c r="A2" s="2" t="s">
        <v>213</v>
      </c>
    </row>
    <row r="4" customFormat="false" ht="15" hidden="false" customHeight="false" outlineLevel="0" collapsed="false">
      <c r="A4" s="5" t="s">
        <v>214</v>
      </c>
    </row>
    <row r="6" customFormat="false" ht="15" hidden="false" customHeight="false" outlineLevel="0" collapsed="false">
      <c r="A6" s="6" t="s">
        <v>140</v>
      </c>
      <c r="B6" s="7"/>
      <c r="C6" s="7"/>
      <c r="D6" s="7"/>
      <c r="E6" s="7"/>
    </row>
    <row r="7" customFormat="false" ht="15" hidden="false" customHeight="false" outlineLevel="0" collapsed="false">
      <c r="B7" s="4" t="s">
        <v>215</v>
      </c>
      <c r="C7" s="4" t="s">
        <v>216</v>
      </c>
    </row>
    <row r="8" customFormat="false" ht="15" hidden="false" customHeight="false" outlineLevel="0" collapsed="false">
      <c r="A8" s="3" t="s">
        <v>18</v>
      </c>
      <c r="B8" s="8" t="n">
        <v>5602</v>
      </c>
      <c r="C8" s="8" t="n">
        <v>6121</v>
      </c>
    </row>
    <row r="9" customFormat="false" ht="15" hidden="false" customHeight="false" outlineLevel="0" collapsed="false">
      <c r="A9" s="3" t="s">
        <v>34</v>
      </c>
      <c r="B9" s="8" t="n">
        <v>1211</v>
      </c>
      <c r="C9" s="8" t="n">
        <v>1420</v>
      </c>
    </row>
    <row r="10" customFormat="false" ht="15" hidden="false" customHeight="false" outlineLevel="0" collapsed="false">
      <c r="A10" s="3" t="s">
        <v>38</v>
      </c>
      <c r="B10" s="8" t="n">
        <v>139</v>
      </c>
      <c r="C10" s="8" t="n">
        <v>247</v>
      </c>
    </row>
    <row r="11" customFormat="false" ht="15" hidden="false" customHeight="false" outlineLevel="0" collapsed="false">
      <c r="A11" s="3" t="s">
        <v>44</v>
      </c>
      <c r="B11" s="8" t="n">
        <v>92</v>
      </c>
      <c r="C11" s="8" t="n">
        <v>161</v>
      </c>
    </row>
    <row r="12" customFormat="false" ht="15" hidden="false" customHeight="false" outlineLevel="0" collapsed="false">
      <c r="A12" s="3" t="s">
        <v>24</v>
      </c>
      <c r="B12" s="8" t="n">
        <v>30</v>
      </c>
      <c r="C12" s="8" t="n">
        <v>45</v>
      </c>
    </row>
    <row r="13" customFormat="false" ht="15" hidden="false" customHeight="false" outlineLevel="0" collapsed="false">
      <c r="A13" s="3" t="s">
        <v>217</v>
      </c>
      <c r="B13" s="8" t="n">
        <v>1869</v>
      </c>
      <c r="C13" s="8" t="n">
        <v>2058</v>
      </c>
    </row>
    <row r="14" customFormat="false" ht="15" hidden="false" customHeight="false" outlineLevel="0" collapsed="false">
      <c r="A14" s="3" t="s">
        <v>218</v>
      </c>
      <c r="B14" s="8" t="n">
        <v>910</v>
      </c>
      <c r="C14" s="8" t="n">
        <v>1026</v>
      </c>
    </row>
    <row r="15" customFormat="false" ht="15" hidden="false" customHeight="false" outlineLevel="0" collapsed="false">
      <c r="A15" s="3" t="s">
        <v>219</v>
      </c>
      <c r="B15" s="8" t="n">
        <v>959</v>
      </c>
      <c r="C15" s="8" t="n">
        <v>1032</v>
      </c>
    </row>
    <row r="17" customFormat="false" ht="15" hidden="false" customHeight="false" outlineLevel="0" collapsed="false">
      <c r="A17" s="6" t="s">
        <v>51</v>
      </c>
      <c r="B17" s="7"/>
      <c r="C17" s="7"/>
      <c r="D17" s="7"/>
      <c r="E17" s="7"/>
    </row>
    <row r="18" customFormat="false" ht="15" hidden="false" customHeight="false" outlineLevel="0" collapsed="false">
      <c r="A18" s="14" t="s">
        <v>220</v>
      </c>
      <c r="B18" s="15" t="n">
        <f aca="false">B9/B8</f>
        <v>0.216172795430204</v>
      </c>
      <c r="C18" s="15" t="n">
        <f aca="false">C9/C8</f>
        <v>0.231988237216141</v>
      </c>
      <c r="D18" s="13" t="s">
        <v>221</v>
      </c>
      <c r="E18" s="5" t="s">
        <v>222</v>
      </c>
    </row>
    <row r="19" customFormat="false" ht="15" hidden="false" customHeight="false" outlineLevel="0" collapsed="false">
      <c r="A19" s="14" t="s">
        <v>223</v>
      </c>
      <c r="B19" s="15" t="n">
        <f aca="false">B11/B14</f>
        <v>0.101098901098901</v>
      </c>
      <c r="C19" s="15" t="n">
        <f aca="false">C11/C14</f>
        <v>0.15692007797271</v>
      </c>
      <c r="D19" s="13" t="s">
        <v>224</v>
      </c>
      <c r="E19" s="5" t="s">
        <v>225</v>
      </c>
    </row>
    <row r="20" customFormat="false" ht="15" hidden="false" customHeight="false" outlineLevel="0" collapsed="false">
      <c r="A20" s="14" t="s">
        <v>226</v>
      </c>
      <c r="B20" s="15" t="n">
        <f aca="false">B11/B8</f>
        <v>0.0164227061763656</v>
      </c>
      <c r="C20" s="15" t="n">
        <f aca="false">C11/C8</f>
        <v>0.0263028916843653</v>
      </c>
      <c r="D20" s="13" t="s">
        <v>227</v>
      </c>
      <c r="E20" s="5" t="s">
        <v>228</v>
      </c>
    </row>
    <row r="21" customFormat="false" ht="15" hidden="false" customHeight="false" outlineLevel="0" collapsed="false">
      <c r="A21" s="14" t="s">
        <v>229</v>
      </c>
      <c r="B21" s="16" t="n">
        <f aca="false">B8/B13</f>
        <v>2.99732477260567</v>
      </c>
      <c r="C21" s="16" t="n">
        <f aca="false">C8/C13</f>
        <v>2.97424684159378</v>
      </c>
      <c r="D21" s="13" t="s">
        <v>230</v>
      </c>
      <c r="E21" s="5" t="s">
        <v>231</v>
      </c>
    </row>
    <row r="22" customFormat="false" ht="15" hidden="false" customHeight="false" outlineLevel="0" collapsed="false">
      <c r="A22" s="14" t="s">
        <v>232</v>
      </c>
      <c r="B22" s="16" t="n">
        <f aca="false">B13/B14</f>
        <v>2.05384615384615</v>
      </c>
      <c r="C22" s="16" t="n">
        <f aca="false">C13/C14</f>
        <v>2.00584795321637</v>
      </c>
      <c r="D22" s="13" t="s">
        <v>233</v>
      </c>
      <c r="E22" s="5" t="s">
        <v>234</v>
      </c>
    </row>
    <row r="23" customFormat="false" ht="15" hidden="false" customHeight="false" outlineLevel="0" collapsed="false">
      <c r="A23" s="3" t="s">
        <v>235</v>
      </c>
      <c r="B23" s="17" t="n">
        <f aca="false">B20*B21*B22</f>
        <v>0.101098901098901</v>
      </c>
      <c r="C23" s="17" t="n">
        <f aca="false">C20*C21*C22</f>
        <v>0.15692007797271</v>
      </c>
      <c r="D23" s="13" t="s">
        <v>236</v>
      </c>
      <c r="E23" s="5" t="s">
        <v>237</v>
      </c>
    </row>
    <row r="24" customFormat="false" ht="15" hidden="false" customHeight="false" outlineLevel="0" collapsed="false">
      <c r="A24" s="3" t="s">
        <v>73</v>
      </c>
      <c r="B24" s="18" t="n">
        <f aca="false">(B11-B12)/B11</f>
        <v>0.673913043478261</v>
      </c>
      <c r="C24" s="18" t="n">
        <f aca="false">(C11-C12)/C11</f>
        <v>0.720496894409938</v>
      </c>
      <c r="D24" s="13" t="s">
        <v>238</v>
      </c>
    </row>
    <row r="25" customFormat="false" ht="15" hidden="false" customHeight="false" outlineLevel="0" collapsed="false">
      <c r="A25" s="3" t="s">
        <v>76</v>
      </c>
      <c r="B25" s="17" t="n">
        <f aca="false">B11/B13</f>
        <v>0.0492241840556447</v>
      </c>
      <c r="C25" s="17" t="n">
        <f aca="false">C11/C13</f>
        <v>0.0782312925170068</v>
      </c>
      <c r="D25" s="13" t="s">
        <v>239</v>
      </c>
    </row>
    <row r="26" customFormat="false" ht="15" hidden="false" customHeight="false" outlineLevel="0" collapsed="false">
      <c r="A26" s="14" t="s">
        <v>240</v>
      </c>
      <c r="B26" s="15" t="n">
        <f aca="false">B19*B24</f>
        <v>0.0681318681318681</v>
      </c>
      <c r="C26" s="15" t="n">
        <f aca="false">C19*C24</f>
        <v>0.113060428849903</v>
      </c>
      <c r="D26" s="13" t="s">
        <v>241</v>
      </c>
    </row>
    <row r="27" customFormat="false" ht="15" hidden="false" customHeight="false" outlineLevel="0" collapsed="false">
      <c r="A27" s="3" t="s">
        <v>242</v>
      </c>
      <c r="B27" s="17" t="n">
        <f aca="false">B19*B24/(1-B19*B24)</f>
        <v>0.0731132075471698</v>
      </c>
      <c r="C27" s="17" t="n">
        <f aca="false">C19*C24/(1-C19*C24)</f>
        <v>0.127472527472527</v>
      </c>
      <c r="D27" s="13" t="s">
        <v>243</v>
      </c>
    </row>
    <row r="28" customFormat="false" ht="15" hidden="false" customHeight="false" outlineLevel="0" collapsed="false">
      <c r="A28" s="14" t="s">
        <v>244</v>
      </c>
      <c r="B28" s="15" t="n">
        <f aca="false">B25*B24</f>
        <v>0.0331728196896736</v>
      </c>
      <c r="C28" s="15" t="n">
        <f aca="false">C25*C24</f>
        <v>0.0563654033041788</v>
      </c>
      <c r="D28" s="13" t="s">
        <v>245</v>
      </c>
    </row>
    <row r="29" customFormat="false" ht="15" hidden="false" customHeight="false" outlineLevel="0" collapsed="false">
      <c r="A29" s="3" t="s">
        <v>246</v>
      </c>
      <c r="B29" s="17" t="n">
        <f aca="false">B25*B24/(1-B25*B24)</f>
        <v>0.0343110127282789</v>
      </c>
      <c r="C29" s="17" t="n">
        <f aca="false">C25*C24/(1-C25*C24)</f>
        <v>0.0597322348094748</v>
      </c>
      <c r="D29" s="13" t="s">
        <v>247</v>
      </c>
    </row>
    <row r="31" customFormat="false" ht="15" hidden="false" customHeight="false" outlineLevel="0" collapsed="false">
      <c r="A31" s="5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249</v>
      </c>
    </row>
    <row r="2" customFormat="false" ht="15" hidden="false" customHeight="false" outlineLevel="0" collapsed="false">
      <c r="A2" s="2" t="s">
        <v>250</v>
      </c>
    </row>
    <row r="4" customFormat="false" ht="15" hidden="false" customHeight="false" outlineLevel="0" collapsed="false">
      <c r="A4" s="5" t="s">
        <v>16</v>
      </c>
    </row>
    <row r="6" customFormat="false" ht="15" hidden="false" customHeight="false" outlineLevel="0" collapsed="false">
      <c r="A6" s="6" t="s">
        <v>140</v>
      </c>
      <c r="B6" s="7"/>
      <c r="C6" s="7"/>
      <c r="D6" s="7"/>
    </row>
    <row r="7" customFormat="false" ht="15" hidden="false" customHeight="false" outlineLevel="0" collapsed="false">
      <c r="A7" s="3" t="s">
        <v>251</v>
      </c>
      <c r="B7" s="28" t="n">
        <v>94.221</v>
      </c>
    </row>
    <row r="8" customFormat="false" ht="15" hidden="false" customHeight="false" outlineLevel="0" collapsed="false">
      <c r="A8" s="3" t="s">
        <v>252</v>
      </c>
      <c r="B8" s="27" t="n">
        <v>0.06</v>
      </c>
    </row>
    <row r="9" customFormat="false" ht="15" hidden="false" customHeight="false" outlineLevel="0" collapsed="false">
      <c r="A9" s="3" t="s">
        <v>253</v>
      </c>
      <c r="B9" s="23" t="n">
        <v>20</v>
      </c>
    </row>
    <row r="10" customFormat="false" ht="15" hidden="false" customHeight="false" outlineLevel="0" collapsed="false">
      <c r="A10" s="3" t="s">
        <v>254</v>
      </c>
      <c r="B10" s="23" t="n">
        <v>3</v>
      </c>
    </row>
    <row r="11" customFormat="false" ht="15" hidden="false" customHeight="false" outlineLevel="0" collapsed="false">
      <c r="A11" s="3" t="s">
        <v>255</v>
      </c>
      <c r="B11" s="27" t="n">
        <v>0.07</v>
      </c>
    </row>
    <row r="12" customFormat="false" ht="15" hidden="false" customHeight="false" outlineLevel="0" collapsed="false">
      <c r="A12" s="3" t="s">
        <v>256</v>
      </c>
      <c r="B12" s="27" t="n">
        <v>0.08</v>
      </c>
    </row>
    <row r="14" customFormat="false" ht="15" hidden="false" customHeight="false" outlineLevel="0" collapsed="false">
      <c r="A14" s="6" t="s">
        <v>51</v>
      </c>
      <c r="B14" s="7"/>
      <c r="C14" s="7"/>
      <c r="D14" s="7"/>
    </row>
    <row r="15" customFormat="false" ht="15" hidden="false" customHeight="false" outlineLevel="0" collapsed="false">
      <c r="A15" s="11" t="s">
        <v>52</v>
      </c>
      <c r="B15" s="11" t="s">
        <v>53</v>
      </c>
      <c r="C15" s="11" t="s">
        <v>32</v>
      </c>
      <c r="D15" s="11" t="s">
        <v>54</v>
      </c>
    </row>
    <row r="16" customFormat="false" ht="15" hidden="false" customHeight="false" outlineLevel="0" collapsed="false">
      <c r="A16" s="3" t="s">
        <v>257</v>
      </c>
      <c r="B16" s="18" t="n">
        <f aca="false">PMT($B$8/2,2*$B$9,-$B$7,100)</f>
        <v>2.74998671817102</v>
      </c>
      <c r="C16" s="13" t="s">
        <v>258</v>
      </c>
      <c r="D16" s="5" t="s">
        <v>259</v>
      </c>
    </row>
    <row r="17" customFormat="false" ht="15" hidden="false" customHeight="false" outlineLevel="0" collapsed="false">
      <c r="A17" s="14" t="s">
        <v>260</v>
      </c>
      <c r="B17" s="15" t="n">
        <f aca="false">ROUND(2*$B$16/100,4)</f>
        <v>0.055</v>
      </c>
      <c r="C17" s="13" t="s">
        <v>261</v>
      </c>
      <c r="D17" s="5" t="s">
        <v>262</v>
      </c>
    </row>
    <row r="18" customFormat="false" ht="15" hidden="false" customHeight="false" outlineLevel="0" collapsed="false">
      <c r="A18" s="14" t="s">
        <v>263</v>
      </c>
      <c r="B18" s="15" t="n">
        <f aca="false">$B$8/2</f>
        <v>0.03</v>
      </c>
      <c r="C18" s="13" t="s">
        <v>264</v>
      </c>
      <c r="D18" s="5" t="s">
        <v>265</v>
      </c>
    </row>
    <row r="19" customFormat="false" ht="15" hidden="false" customHeight="false" outlineLevel="0" collapsed="false">
      <c r="A19" s="14" t="s">
        <v>266</v>
      </c>
      <c r="B19" s="29" t="n">
        <f aca="false">(1+$B$8/2)^2-1</f>
        <v>0.0609</v>
      </c>
      <c r="C19" s="13" t="s">
        <v>267</v>
      </c>
      <c r="D19" s="5" t="s">
        <v>268</v>
      </c>
    </row>
    <row r="20" customFormat="false" ht="15" hidden="false" customHeight="false" outlineLevel="0" collapsed="false">
      <c r="A20" s="3" t="s">
        <v>269</v>
      </c>
      <c r="B20" s="33" t="n">
        <f aca="false">EFFECT($B$8,2)</f>
        <v>0.0609</v>
      </c>
      <c r="C20" s="13" t="s">
        <v>270</v>
      </c>
    </row>
    <row r="21" customFormat="false" ht="15" hidden="false" customHeight="false" outlineLevel="0" collapsed="false">
      <c r="A21" s="3" t="s">
        <v>271</v>
      </c>
      <c r="B21" s="31" t="n">
        <f aca="false">2*($B$9-$B$10)</f>
        <v>34</v>
      </c>
      <c r="C21" s="13" t="s">
        <v>272</v>
      </c>
    </row>
    <row r="22" customFormat="false" ht="15" hidden="false" customHeight="false" outlineLevel="0" collapsed="false">
      <c r="A22" s="14" t="s">
        <v>273</v>
      </c>
      <c r="B22" s="16" t="n">
        <f aca="false">PV($B$11/2,$B$21,-$B$17*100/2,-100)</f>
        <v>85.2244868246324</v>
      </c>
      <c r="C22" s="13" t="s">
        <v>274</v>
      </c>
      <c r="D22" s="5" t="s">
        <v>275</v>
      </c>
    </row>
    <row r="23" customFormat="false" ht="15" hidden="false" customHeight="false" outlineLevel="0" collapsed="false">
      <c r="A23" s="14" t="s">
        <v>276</v>
      </c>
      <c r="B23" s="16" t="n">
        <f aca="false">PV($B$12/2,$B$21,-$B$17*100/2,-100)</f>
        <v>76.986002798637</v>
      </c>
      <c r="C23" s="13" t="s">
        <v>277</v>
      </c>
    </row>
    <row r="24" customFormat="false" ht="15" hidden="false" customHeight="false" outlineLevel="0" collapsed="false">
      <c r="A24" s="3" t="s">
        <v>278</v>
      </c>
      <c r="B24" s="17" t="n">
        <f aca="false">$B$23/$B$22-1</f>
        <v>-0.0966680391158923</v>
      </c>
      <c r="C24" s="13" t="s">
        <v>279</v>
      </c>
    </row>
    <row r="25" customFormat="false" ht="15" hidden="false" customHeight="false" outlineLevel="0" collapsed="false">
      <c r="A25" s="14" t="s">
        <v>280</v>
      </c>
      <c r="B25" s="16" t="n">
        <f aca="false">-($B$23-$B$22)/$B$22/($B$12-$B$11)</f>
        <v>9.66680391158923</v>
      </c>
      <c r="C25" s="13" t="s">
        <v>281</v>
      </c>
      <c r="D25" s="5" t="s">
        <v>282</v>
      </c>
    </row>
    <row r="26" customFormat="false" ht="15" hidden="false" customHeight="false" outlineLevel="0" collapsed="false">
      <c r="A26" s="3" t="s">
        <v>283</v>
      </c>
      <c r="B26" s="18" t="n">
        <f aca="false">MDURATION(DATE(2000,1,1),DATE(2000+$B$21/2,1,1),$B$17,$B$11,2)</f>
        <v>10.3636028830403</v>
      </c>
      <c r="C26" s="13" t="s">
        <v>284</v>
      </c>
      <c r="D26" s="5" t="s">
        <v>285</v>
      </c>
    </row>
    <row r="27" customFormat="false" ht="15" hidden="false" customHeight="false" outlineLevel="0" collapsed="false">
      <c r="A27" s="3" t="s">
        <v>286</v>
      </c>
      <c r="B27" s="18" t="n">
        <f aca="false">DURATION(DATE(2000,1,1),DATE(2000+$B$21/2,1,1),$B$17,$B$11,2)</f>
        <v>10.7263289839467</v>
      </c>
      <c r="C27" s="13" t="s">
        <v>287</v>
      </c>
    </row>
    <row r="29" customFormat="false" ht="15" hidden="false" customHeight="false" outlineLevel="0" collapsed="false">
      <c r="A29" s="5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289</v>
      </c>
    </row>
    <row r="2" customFormat="false" ht="15" hidden="false" customHeight="false" outlineLevel="0" collapsed="false">
      <c r="A2" s="2" t="s">
        <v>290</v>
      </c>
    </row>
    <row r="4" customFormat="false" ht="15" hidden="false" customHeight="false" outlineLevel="0" collapsed="false">
      <c r="A4" s="5" t="s">
        <v>16</v>
      </c>
    </row>
    <row r="6" customFormat="false" ht="15" hidden="false" customHeight="false" outlineLevel="0" collapsed="false">
      <c r="A6" s="6" t="s">
        <v>140</v>
      </c>
      <c r="B6" s="7"/>
      <c r="C6" s="7"/>
      <c r="D6" s="7"/>
    </row>
    <row r="7" customFormat="false" ht="15" hidden="false" customHeight="false" outlineLevel="0" collapsed="false">
      <c r="A7" s="3" t="s">
        <v>291</v>
      </c>
      <c r="B7" s="26" t="n">
        <v>45582</v>
      </c>
    </row>
    <row r="8" customFormat="false" ht="15" hidden="false" customHeight="false" outlineLevel="0" collapsed="false">
      <c r="A8" s="3" t="s">
        <v>292</v>
      </c>
      <c r="B8" s="26" t="n">
        <v>56384</v>
      </c>
    </row>
    <row r="9" customFormat="false" ht="15" hidden="false" customHeight="false" outlineLevel="0" collapsed="false">
      <c r="A9" s="3" t="s">
        <v>293</v>
      </c>
      <c r="B9" s="27" t="n">
        <v>0.1</v>
      </c>
    </row>
    <row r="10" customFormat="false" ht="15" hidden="false" customHeight="false" outlineLevel="0" collapsed="false">
      <c r="A10" s="3" t="s">
        <v>294</v>
      </c>
      <c r="B10" s="27" t="n">
        <v>0.12</v>
      </c>
    </row>
    <row r="11" customFormat="false" ht="15" hidden="false" customHeight="false" outlineLevel="0" collapsed="false">
      <c r="A11" s="3" t="s">
        <v>295</v>
      </c>
      <c r="B11" s="23" t="n">
        <v>2</v>
      </c>
    </row>
    <row r="12" customFormat="false" ht="15" hidden="false" customHeight="false" outlineLevel="0" collapsed="false">
      <c r="A12" s="3" t="s">
        <v>296</v>
      </c>
      <c r="B12" s="23" t="n">
        <v>0</v>
      </c>
    </row>
    <row r="13" customFormat="false" ht="15" hidden="false" customHeight="false" outlineLevel="0" collapsed="false">
      <c r="A13" s="3" t="s">
        <v>297</v>
      </c>
      <c r="B13" s="27" t="n">
        <v>0.0025</v>
      </c>
      <c r="C13" s="5" t="s">
        <v>298</v>
      </c>
    </row>
    <row r="15" customFormat="false" ht="15" hidden="false" customHeight="false" outlineLevel="0" collapsed="false">
      <c r="A15" s="6" t="s">
        <v>51</v>
      </c>
      <c r="B15" s="7"/>
      <c r="C15" s="7"/>
      <c r="D15" s="7"/>
    </row>
    <row r="16" customFormat="false" ht="15" hidden="false" customHeight="false" outlineLevel="0" collapsed="false">
      <c r="A16" s="11" t="s">
        <v>52</v>
      </c>
      <c r="B16" s="11" t="s">
        <v>53</v>
      </c>
      <c r="C16" s="11" t="s">
        <v>32</v>
      </c>
      <c r="D16" s="11" t="s">
        <v>54</v>
      </c>
    </row>
    <row r="17" customFormat="false" ht="15" hidden="false" customHeight="false" outlineLevel="0" collapsed="false">
      <c r="A17" s="14" t="s">
        <v>299</v>
      </c>
      <c r="B17" s="16" t="n">
        <f aca="false">PRICE($B$7,$B$8,$B$9,$B$10,100,$B$11,$B$12)</f>
        <v>83.8447917650717</v>
      </c>
      <c r="C17" s="13" t="s">
        <v>300</v>
      </c>
    </row>
    <row r="18" customFormat="false" ht="15" hidden="false" customHeight="false" outlineLevel="0" collapsed="false">
      <c r="A18" s="14" t="s">
        <v>301</v>
      </c>
      <c r="B18" s="34" t="n">
        <f aca="false">COUPDAYS($B$7,$B$8,$B$11,$B$12)</f>
        <v>180</v>
      </c>
      <c r="C18" s="13" t="s">
        <v>302</v>
      </c>
      <c r="D18" s="5" t="s">
        <v>303</v>
      </c>
    </row>
    <row r="19" customFormat="false" ht="15" hidden="false" customHeight="false" outlineLevel="0" collapsed="false">
      <c r="A19" s="14" t="s">
        <v>304</v>
      </c>
      <c r="B19" s="34" t="n">
        <f aca="false">COUPDAYBS($B$7,$B$8,$B$11,$B$12)</f>
        <v>152</v>
      </c>
      <c r="C19" s="13" t="s">
        <v>305</v>
      </c>
      <c r="D19" s="5" t="s">
        <v>306</v>
      </c>
    </row>
    <row r="20" customFormat="false" ht="15" hidden="false" customHeight="false" outlineLevel="0" collapsed="false">
      <c r="A20" s="14" t="s">
        <v>307</v>
      </c>
      <c r="B20" s="16" t="n">
        <f aca="false">$B$19/$B$18</f>
        <v>0.844444444444444</v>
      </c>
      <c r="C20" s="13" t="s">
        <v>308</v>
      </c>
    </row>
    <row r="21" customFormat="false" ht="15" hidden="false" customHeight="false" outlineLevel="0" collapsed="false">
      <c r="A21" s="14" t="s">
        <v>309</v>
      </c>
      <c r="B21" s="16" t="n">
        <f aca="false">$B$9*100/$B$11*$B$20</f>
        <v>4.22222222222222</v>
      </c>
      <c r="C21" s="13" t="s">
        <v>310</v>
      </c>
      <c r="D21" s="5" t="s">
        <v>311</v>
      </c>
    </row>
    <row r="22" customFormat="false" ht="15" hidden="false" customHeight="false" outlineLevel="0" collapsed="false">
      <c r="A22" s="14" t="s">
        <v>312</v>
      </c>
      <c r="B22" s="16" t="n">
        <f aca="false">$B$17+$B$21</f>
        <v>88.0670139872939</v>
      </c>
      <c r="C22" s="13" t="s">
        <v>313</v>
      </c>
    </row>
    <row r="23" customFormat="false" ht="15" hidden="false" customHeight="false" outlineLevel="0" collapsed="false">
      <c r="A23" s="14" t="s">
        <v>314</v>
      </c>
      <c r="B23" s="16" t="n">
        <f aca="false">$B$17</f>
        <v>83.8447917650717</v>
      </c>
      <c r="C23" s="13" t="s">
        <v>315</v>
      </c>
      <c r="D23" s="5" t="s">
        <v>316</v>
      </c>
    </row>
    <row r="24" customFormat="false" ht="15" hidden="false" customHeight="false" outlineLevel="0" collapsed="false">
      <c r="A24" s="14" t="s">
        <v>317</v>
      </c>
      <c r="B24" s="16" t="n">
        <f aca="false">$B$22</f>
        <v>88.0670139872939</v>
      </c>
      <c r="C24" s="13" t="s">
        <v>318</v>
      </c>
      <c r="D24" s="5" t="s">
        <v>319</v>
      </c>
    </row>
    <row r="25" customFormat="false" ht="15" hidden="false" customHeight="false" outlineLevel="0" collapsed="false">
      <c r="A25" s="14" t="s">
        <v>320</v>
      </c>
      <c r="B25" s="16" t="n">
        <f aca="false">DURATION($B$7,$B$8,$B$9,$B$10,$B$11,$B$12)</f>
        <v>8.27250550518543</v>
      </c>
      <c r="C25" s="13" t="s">
        <v>321</v>
      </c>
    </row>
    <row r="26" customFormat="false" ht="15" hidden="false" customHeight="false" outlineLevel="0" collapsed="false">
      <c r="A26" s="14" t="s">
        <v>322</v>
      </c>
      <c r="B26" s="16" t="n">
        <f aca="false">MDURATION($B$7,$B$8,$B$9,$B$10,$B$11,$B$12)</f>
        <v>7.80425047659003</v>
      </c>
      <c r="C26" s="13" t="s">
        <v>323</v>
      </c>
    </row>
    <row r="27" customFormat="false" ht="15" hidden="false" customHeight="false" outlineLevel="0" collapsed="false">
      <c r="A27" s="14" t="s">
        <v>324</v>
      </c>
      <c r="B27" s="29" t="n">
        <f aca="false">-$B$26*$B$13</f>
        <v>-0.0195106261914751</v>
      </c>
      <c r="C27" s="13" t="s">
        <v>325</v>
      </c>
    </row>
    <row r="28" customFormat="false" ht="15" hidden="false" customHeight="false" outlineLevel="0" collapsed="false">
      <c r="A28" s="14" t="s">
        <v>326</v>
      </c>
      <c r="B28" s="16" t="n">
        <f aca="false">PRICE($B$7,$B$8,$B$9,$B$10+$B$13,100,$B$11,$B$12)+$B$21</f>
        <v>86.3807093650219</v>
      </c>
      <c r="C28" s="13" t="s">
        <v>327</v>
      </c>
      <c r="D28" s="5" t="s">
        <v>328</v>
      </c>
    </row>
    <row r="29" customFormat="false" ht="15" hidden="false" customHeight="false" outlineLevel="0" collapsed="false">
      <c r="A29" s="3" t="s">
        <v>329</v>
      </c>
      <c r="B29" s="33" t="n">
        <f aca="false">$B$28/$B$22-1</f>
        <v>-0.0191479709135516</v>
      </c>
      <c r="C29" s="13" t="s">
        <v>330</v>
      </c>
      <c r="D29" s="5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2026-10-09T19:09:38Z</dcterms:created>
  <dc:creator>openpyxl</dc:creator>
  <dc:description/>
  <dc:language>en-US</dc:language>
  <cp:lastModifiedBy/>
  <dcterms:modified xsi:type="dcterms:W3CDTF">2026-10-09T19:09:38Z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