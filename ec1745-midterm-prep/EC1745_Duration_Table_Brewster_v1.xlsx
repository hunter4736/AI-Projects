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wster du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<sst xmlns="http://schemas.openxmlformats.org/spreadsheetml/2006/main" count="37" uniqueCount="35">
  <si>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Coupon rate (annual)</t>
  </si>
  <si>
    <t xml:space="preserve">Typed in. Blue = typed inputs.</t>
  </si>
  <si>
    <t xml:space="preserve">Yield (APR)</t>
  </si>
  <si>
    <t xml:space="preserve">Typed in</t>
  </si>
  <si>
    <t xml:space="preserve">Periods left (8 years x 2)</t>
  </si>
  <si>
    <t xml:space="preserve">Period</t>
  </si>
  <si>
    <t xml:space="preserve">Years</t>
  </si>
  <si>
    <t xml:space="preserve">Cash flow</t>
  </si>
  <si>
    <t xml:space="preserve">PV</t>
  </si>
  <si>
    <t xml:space="preserve">Years x PV</t>
  </si>
  <si>
    <t xml:space="preserve">Weight</t>
  </si>
  <si>
    <t xml:space="preserve">Row 6 formulas (fill down to row 21):</t>
  </si>
  <si>
    <t xml:space="preserve">A6: 1    A7: =A6+1</t>
  </si>
  <si>
    <t xml:space="preserve">B6: =A6/2</t>
  </si>
  <si>
    <t xml:space="preserve">C6: =$B$1*100/2+IF(A6=$B$3,100,0)</t>
  </si>
  <si>
    <t xml:space="preserve">D6: =C6/(1+$B$2/2)^A6</t>
  </si>
  <si>
    <t xml:space="preserve">E6: =B6*D6</t>
  </si>
  <si>
    <t xml:space="preserve">F6: =D6/$D$22   (optional: share of the price)</t>
  </si>
  <si>
    <t xml:space="preserve">Total</t>
  </si>
  <si>
    <t xml:space="preserve">D22 = price (matches 3.A: 87.9059). F22 must be 100%.</t>
  </si>
  <si>
    <t xml:space="preserve">3.E  Macaulay duration (years)</t>
  </si>
  <si>
    <t xml:space="preserve">=E22/D22</t>
  </si>
  <si>
    <t xml:space="preserve">3.E  Modified duration</t>
  </si>
  <si>
    <t xml:space="preserve">=B24/(1+B2/2)   divide by 1.035, not 1.07</t>
  </si>
  <si>
    <t xml:space="preserve">Check: DURATION (dummy dates 8 yrs apart)</t>
  </si>
  <si>
    <t xml:space="preserve">=DURATION(DATE(2026,1,1),DATE(2034,1,1),B1,B2,2)</t>
  </si>
  <si>
    <t xml:space="preserve">Check: MDURATION</t>
  </si>
  <si>
    <t xml:space="preserve">=MDURATION(DATE(2026,1,1),DATE(2034,1,1),B1,B2,2)</t>
  </si>
  <si>
    <t xml:space="preserve">3.F  New yield</t>
  </si>
  <si>
    <t xml:space="preserve">3.F  Estimated % change</t>
  </si>
  <si>
    <t xml:space="preserve">=-B25*(B29-B2)   -MD x change in yield</t>
  </si>
  <si>
    <t xml:space="preserve">3.F  Actual new price</t>
  </si>
  <si>
    <t xml:space="preserve">=PV(B29/2,B3,-B1*100/2,-100)</t>
  </si>
  <si>
    <t xml:space="preserve">3.F  Actual % change</t>
  </si>
  <si>
    <t xml:space="preserve">=B31/D22-1   smaller drop than the estimate (convexity)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</si>
</sst>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"/>
    <numFmt numFmtId="167" formatCode="0.0"/>
    <numFmt numFmtId="168" formatCode="0.00"/>
    <numFmt numFmtId="169" formatCode="0.00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Courier New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1" t="s">
        <v>0</v>
      </c>
      <c r="B1" s="2" t="n">
        <v>0.05</v>
      </c>
      <c r="H1" s="3" t="s">
        <v>1</v>
      </c>
    </row>
    <row r="2" customFormat="false" ht="15" hidden="false" customHeight="false" outlineLevel="0" collapsed="false">
      <c r="A2" s="1" t="s">
        <v>2</v>
      </c>
      <c r="B2" s="2" t="n">
        <v>0.07</v>
      </c>
      <c r="H2" s="3" t="s">
        <v>3</v>
      </c>
    </row>
    <row r="3" customFormat="false" ht="15" hidden="false" customHeight="false" outlineLevel="0" collapsed="false">
      <c r="A3" s="1" t="s">
        <v>4</v>
      </c>
      <c r="B3" s="4" t="n">
        <v>16</v>
      </c>
      <c r="H3" s="3" t="s">
        <v>3</v>
      </c>
    </row>
    <row r="5" customFormat="false" ht="15" hidden="false" customHeight="fals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H5" s="3" t="s">
        <v>11</v>
      </c>
    </row>
    <row r="6" customFormat="false" ht="15" hidden="false" customHeight="false" outlineLevel="0" collapsed="false">
      <c r="A6" s="4" t="n">
        <v>1</v>
      </c>
      <c r="B6" s="6" t="n">
        <f aca="false">A6/2</f>
        <v>0.5</v>
      </c>
      <c r="C6" s="7" t="n">
        <f aca="false">$B$1*100/2+IF(A6=$B$3,100,0)</f>
        <v>2.5</v>
      </c>
      <c r="D6" s="8" t="n">
        <f aca="false">C6/(1+$B$2/2)^A6</f>
        <v>2.41545893719807</v>
      </c>
      <c r="E6" s="8" t="n">
        <f aca="false">B6*D6</f>
        <v>1.20772946859903</v>
      </c>
      <c r="F6" s="9" t="n">
        <f aca="false">D6/$D$22</f>
        <v>0.0274777847567543</v>
      </c>
      <c r="H6" s="3" t="s">
        <v>12</v>
      </c>
    </row>
    <row r="7" customFormat="false" ht="15" hidden="false" customHeight="false" outlineLevel="0" collapsed="false">
      <c r="A7" s="10" t="n">
        <f aca="false">A6+1</f>
        <v>2</v>
      </c>
      <c r="B7" s="6" t="n">
        <f aca="false">A7/2</f>
        <v>1</v>
      </c>
      <c r="C7" s="7" t="n">
        <f aca="false">$B$1*100/2+IF(A7=$B$3,100,0)</f>
        <v>2.5</v>
      </c>
      <c r="D7" s="8" t="n">
        <f aca="false">C7/(1+$B$2/2)^A7</f>
        <v>2.33377675091601</v>
      </c>
      <c r="E7" s="8" t="n">
        <f aca="false">B7*D7</f>
        <v>2.33377675091601</v>
      </c>
      <c r="F7" s="9" t="n">
        <f aca="false">D7/$D$22</f>
        <v>0.0265485843060428</v>
      </c>
      <c r="H7" s="3" t="s">
        <v>13</v>
      </c>
    </row>
    <row r="8" customFormat="false" ht="15" hidden="false" customHeight="false" outlineLevel="0" collapsed="false">
      <c r="A8" s="10" t="n">
        <f aca="false">A7+1</f>
        <v>3</v>
      </c>
      <c r="B8" s="6" t="n">
        <f aca="false">A8/2</f>
        <v>1.5</v>
      </c>
      <c r="C8" s="7" t="n">
        <f aca="false">$B$1*100/2+IF(A8=$B$3,100,0)</f>
        <v>2.5</v>
      </c>
      <c r="D8" s="8" t="n">
        <f aca="false">C8/(1+$B$2/2)^A8</f>
        <v>2.25485676417006</v>
      </c>
      <c r="E8" s="8" t="n">
        <f aca="false">B8*D8</f>
        <v>3.38228514625508</v>
      </c>
      <c r="F8" s="9" t="n">
        <f aca="false">D8/$D$22</f>
        <v>0.0256508060927949</v>
      </c>
      <c r="H8" s="3" t="s">
        <v>14</v>
      </c>
    </row>
    <row r="9" customFormat="false" ht="15" hidden="false" customHeight="false" outlineLevel="0" collapsed="false">
      <c r="A9" s="10" t="n">
        <f aca="false">A8+1</f>
        <v>4</v>
      </c>
      <c r="B9" s="6" t="n">
        <f aca="false">A9/2</f>
        <v>2</v>
      </c>
      <c r="C9" s="7" t="n">
        <f aca="false">$B$1*100/2+IF(A9=$B$3,100,0)</f>
        <v>2.5</v>
      </c>
      <c r="D9" s="8" t="n">
        <f aca="false">C9/(1+$B$2/2)^A9</f>
        <v>2.17860556924643</v>
      </c>
      <c r="E9" s="8" t="n">
        <f aca="false">B9*D9</f>
        <v>4.35721113849286</v>
      </c>
      <c r="F9" s="9" t="n">
        <f aca="false">D9/$D$22</f>
        <v>0.0247833875292705</v>
      </c>
      <c r="H9" s="3" t="s">
        <v>15</v>
      </c>
    </row>
    <row r="10" customFormat="false" ht="15" hidden="false" customHeight="false" outlineLevel="0" collapsed="false">
      <c r="A10" s="10" t="n">
        <f aca="false">A9+1</f>
        <v>5</v>
      </c>
      <c r="B10" s="6" t="n">
        <f aca="false">A10/2</f>
        <v>2.5</v>
      </c>
      <c r="C10" s="7" t="n">
        <f aca="false">$B$1*100/2+IF(A10=$B$3,100,0)</f>
        <v>2.5</v>
      </c>
      <c r="D10" s="8" t="n">
        <f aca="false">C10/(1+$B$2/2)^A10</f>
        <v>2.10493291714631</v>
      </c>
      <c r="E10" s="8" t="n">
        <f aca="false">B10*D10</f>
        <v>5.26233229286578</v>
      </c>
      <c r="F10" s="9" t="n">
        <f aca="false">D10/$D$22</f>
        <v>0.0239453019606478</v>
      </c>
      <c r="H10" s="3" t="s">
        <v>16</v>
      </c>
    </row>
    <row r="11" customFormat="false" ht="15" hidden="false" customHeight="false" outlineLevel="0" collapsed="false">
      <c r="A11" s="10" t="n">
        <f aca="false">A10+1</f>
        <v>6</v>
      </c>
      <c r="B11" s="6" t="n">
        <f aca="false">A11/2</f>
        <v>3</v>
      </c>
      <c r="C11" s="7" t="n">
        <f aca="false">$B$1*100/2+IF(A11=$B$3,100,0)</f>
        <v>2.5</v>
      </c>
      <c r="D11" s="8" t="n">
        <f aca="false">C11/(1+$B$2/2)^A11</f>
        <v>2.03375161076938</v>
      </c>
      <c r="E11" s="8" t="n">
        <f aca="false">B11*D11</f>
        <v>6.10125483230815</v>
      </c>
      <c r="F11" s="9" t="n">
        <f aca="false">D11/$D$22</f>
        <v>0.0231355574499013</v>
      </c>
      <c r="H11" s="3" t="s">
        <v>17</v>
      </c>
    </row>
    <row r="12" customFormat="false" ht="15" hidden="false" customHeight="false" outlineLevel="0" collapsed="false">
      <c r="A12" s="10" t="n">
        <f aca="false">A11+1</f>
        <v>7</v>
      </c>
      <c r="B12" s="6" t="n">
        <f aca="false">A12/2</f>
        <v>3.5</v>
      </c>
      <c r="C12" s="7" t="n">
        <f aca="false">$B$1*100/2+IF(A12=$B$3,100,0)</f>
        <v>2.5</v>
      </c>
      <c r="D12" s="8" t="n">
        <f aca="false">C12/(1+$B$2/2)^A12</f>
        <v>1.96497740170955</v>
      </c>
      <c r="E12" s="8" t="n">
        <f aca="false">B12*D12</f>
        <v>6.87742090598342</v>
      </c>
      <c r="F12" s="9" t="n">
        <f aca="false">D12/$D$22</f>
        <v>0.0223531956037693</v>
      </c>
    </row>
    <row r="13" customFormat="false" ht="15" hidden="false" customHeight="false" outlineLevel="0" collapsed="false">
      <c r="A13" s="10" t="n">
        <f aca="false">A12+1</f>
        <v>8</v>
      </c>
      <c r="B13" s="6" t="n">
        <f aca="false">A13/2</f>
        <v>4</v>
      </c>
      <c r="C13" s="7" t="n">
        <f aca="false">$B$1*100/2+IF(A13=$B$3,100,0)</f>
        <v>2.5</v>
      </c>
      <c r="D13" s="8" t="n">
        <f aca="false">C13/(1+$B$2/2)^A13</f>
        <v>1.89852889054063</v>
      </c>
      <c r="E13" s="8" t="n">
        <f aca="false">B13*D13</f>
        <v>7.59411556216251</v>
      </c>
      <c r="F13" s="9" t="n">
        <f aca="false">D13/$D$22</f>
        <v>0.0215972904384245</v>
      </c>
    </row>
    <row r="14" customFormat="false" ht="15" hidden="false" customHeight="false" outlineLevel="0" collapsed="false">
      <c r="A14" s="10" t="n">
        <f aca="false">A13+1</f>
        <v>9</v>
      </c>
      <c r="B14" s="6" t="n">
        <f aca="false">A14/2</f>
        <v>4.5</v>
      </c>
      <c r="C14" s="7" t="n">
        <f aca="false">$B$1*100/2+IF(A14=$B$3,100,0)</f>
        <v>2.5</v>
      </c>
      <c r="D14" s="8" t="n">
        <f aca="false">C14/(1+$B$2/2)^A14</f>
        <v>1.83432743047404</v>
      </c>
      <c r="E14" s="8" t="n">
        <f aca="false">B14*D14</f>
        <v>8.25447343713316</v>
      </c>
      <c r="F14" s="9" t="n">
        <f aca="false">D14/$D$22</f>
        <v>0.0208669472835019</v>
      </c>
    </row>
    <row r="15" customFormat="false" ht="15" hidden="false" customHeight="false" outlineLevel="0" collapsed="false">
      <c r="A15" s="10" t="n">
        <f aca="false">A14+1</f>
        <v>10</v>
      </c>
      <c r="B15" s="6" t="n">
        <f aca="false">A15/2</f>
        <v>5</v>
      </c>
      <c r="C15" s="7" t="n">
        <f aca="false">$B$1*100/2+IF(A15=$B$3,100,0)</f>
        <v>2.5</v>
      </c>
      <c r="D15" s="8" t="n">
        <f aca="false">C15/(1+$B$2/2)^A15</f>
        <v>1.77229703427443</v>
      </c>
      <c r="E15" s="8" t="n">
        <f aca="false">B15*D15</f>
        <v>8.86148517137215</v>
      </c>
      <c r="F15" s="9" t="n">
        <f aca="false">D15/$D$22</f>
        <v>0.0201613017231903</v>
      </c>
    </row>
    <row r="16" customFormat="false" ht="15" hidden="false" customHeight="false" outlineLevel="0" collapsed="false">
      <c r="A16" s="10" t="n">
        <f aca="false">A15+1</f>
        <v>11</v>
      </c>
      <c r="B16" s="6" t="n">
        <f aca="false">A16/2</f>
        <v>5.5</v>
      </c>
      <c r="C16" s="7" t="n">
        <f aca="false">$B$1*100/2+IF(A16=$B$3,100,0)</f>
        <v>2.5</v>
      </c>
      <c r="D16" s="8" t="n">
        <f aca="false">C16/(1+$B$2/2)^A16</f>
        <v>1.71236428432312</v>
      </c>
      <c r="E16" s="8" t="n">
        <f aca="false">B16*D16</f>
        <v>9.41800356377717</v>
      </c>
      <c r="F16" s="9" t="n">
        <f aca="false">D16/$D$22</f>
        <v>0.0194795185731307</v>
      </c>
    </row>
    <row r="17" customFormat="false" ht="15" hidden="false" customHeight="false" outlineLevel="0" collapsed="false">
      <c r="A17" s="10" t="n">
        <f aca="false">A16+1</f>
        <v>12</v>
      </c>
      <c r="B17" s="6" t="n">
        <f aca="false">A17/2</f>
        <v>6</v>
      </c>
      <c r="C17" s="7" t="n">
        <f aca="false">$B$1*100/2+IF(A17=$B$3,100,0)</f>
        <v>2.5</v>
      </c>
      <c r="D17" s="8" t="n">
        <f aca="false">C17/(1+$B$2/2)^A17</f>
        <v>1.65445824572282</v>
      </c>
      <c r="E17" s="8" t="n">
        <f aca="false">B17*D17</f>
        <v>9.92674947433694</v>
      </c>
      <c r="F17" s="9" t="n">
        <f aca="false">D17/$D$22</f>
        <v>0.0188207908919137</v>
      </c>
    </row>
    <row r="18" customFormat="false" ht="15" hidden="false" customHeight="false" outlineLevel="0" collapsed="false">
      <c r="A18" s="10" t="n">
        <f aca="false">A17+1</f>
        <v>13</v>
      </c>
      <c r="B18" s="6" t="n">
        <f aca="false">A18/2</f>
        <v>6.5</v>
      </c>
      <c r="C18" s="7" t="n">
        <f aca="false">$B$1*100/2+IF(A18=$B$3,100,0)</f>
        <v>2.5</v>
      </c>
      <c r="D18" s="8" t="n">
        <f aca="false">C18/(1+$B$2/2)^A18</f>
        <v>1.59851038234089</v>
      </c>
      <c r="E18" s="8" t="n">
        <f aca="false">B18*D18</f>
        <v>10.3903174852158</v>
      </c>
      <c r="F18" s="9" t="n">
        <f aca="false">D18/$D$22</f>
        <v>0.0181843390260036</v>
      </c>
    </row>
    <row r="19" customFormat="false" ht="15" hidden="false" customHeight="false" outlineLevel="0" collapsed="false">
      <c r="A19" s="10" t="n">
        <f aca="false">A18+1</f>
        <v>14</v>
      </c>
      <c r="B19" s="6" t="n">
        <f aca="false">A19/2</f>
        <v>7</v>
      </c>
      <c r="C19" s="7" t="n">
        <f aca="false">$B$1*100/2+IF(A19=$B$3,100,0)</f>
        <v>2.5</v>
      </c>
      <c r="D19" s="8" t="n">
        <f aca="false">C19/(1+$B$2/2)^A19</f>
        <v>1.54445447569168</v>
      </c>
      <c r="E19" s="8" t="n">
        <f aca="false">B19*D19</f>
        <v>10.8111813298418</v>
      </c>
      <c r="F19" s="9" t="n">
        <f aca="false">D19/$D$22</f>
        <v>0.01756940968696</v>
      </c>
    </row>
    <row r="20" customFormat="false" ht="15" hidden="false" customHeight="false" outlineLevel="0" collapsed="false">
      <c r="A20" s="10" t="n">
        <f aca="false">A19+1</f>
        <v>15</v>
      </c>
      <c r="B20" s="6" t="n">
        <f aca="false">A20/2</f>
        <v>7.5</v>
      </c>
      <c r="C20" s="7" t="n">
        <f aca="false">$B$1*100/2+IF(A20=$B$3,100,0)</f>
        <v>2.5</v>
      </c>
      <c r="D20" s="8" t="n">
        <f aca="false">C20/(1+$B$2/2)^A20</f>
        <v>1.49222654656201</v>
      </c>
      <c r="E20" s="8" t="n">
        <f aca="false">B20*D20</f>
        <v>11.1916990992151</v>
      </c>
      <c r="F20" s="9" t="n">
        <f aca="false">D20/$D$22</f>
        <v>0.0169752750598647</v>
      </c>
    </row>
    <row r="21" customFormat="false" ht="15" hidden="false" customHeight="false" outlineLevel="0" collapsed="false">
      <c r="A21" s="10" t="n">
        <f aca="false">A20+1</f>
        <v>16</v>
      </c>
      <c r="B21" s="6" t="n">
        <f aca="false">A21/2</f>
        <v>8</v>
      </c>
      <c r="C21" s="7" t="n">
        <f aca="false">$B$1*100/2+IF(A21=$B$3,100,0)</f>
        <v>102.5</v>
      </c>
      <c r="D21" s="8" t="n">
        <f aca="false">C21/(1+$B$2/2)^A21</f>
        <v>59.1123559507657</v>
      </c>
      <c r="E21" s="8" t="n">
        <f aca="false">B21*D21</f>
        <v>472.898847606126</v>
      </c>
      <c r="F21" s="9" t="n">
        <f aca="false">D21/$D$22</f>
        <v>0.67245050961783</v>
      </c>
    </row>
    <row r="22" customFormat="false" ht="15" hidden="false" customHeight="false" outlineLevel="0" collapsed="false">
      <c r="A22" s="11" t="s">
        <v>18</v>
      </c>
      <c r="D22" s="12" t="n">
        <f aca="false">SUM(D6:D21)</f>
        <v>87.9058831918511</v>
      </c>
      <c r="E22" s="12" t="n">
        <f aca="false">SUM(E6:E21)</f>
        <v>578.868883264601</v>
      </c>
      <c r="F22" s="13" t="n">
        <f aca="false">SUM(F6:F21)</f>
        <v>1</v>
      </c>
      <c r="H22" s="3" t="s">
        <v>19</v>
      </c>
    </row>
    <row r="24" customFormat="false" ht="15" hidden="false" customHeight="false" outlineLevel="0" collapsed="false">
      <c r="A24" s="14" t="s">
        <v>20</v>
      </c>
      <c r="B24" s="15" t="n">
        <f aca="false">E22/D22</f>
        <v>6.58509831476515</v>
      </c>
      <c r="H24" s="3" t="s">
        <v>21</v>
      </c>
    </row>
    <row r="25" customFormat="false" ht="15" hidden="false" customHeight="false" outlineLevel="0" collapsed="false">
      <c r="A25" s="14" t="s">
        <v>22</v>
      </c>
      <c r="B25" s="15" t="n">
        <f aca="false">B24/(1+B2/2)</f>
        <v>6.36241383069096</v>
      </c>
      <c r="H25" s="3" t="s">
        <v>23</v>
      </c>
    </row>
    <row r="26" customFormat="false" ht="15" hidden="false" customHeight="false" outlineLevel="0" collapsed="false">
      <c r="A26" s="1" t="s">
        <v>24</v>
      </c>
      <c r="B26" s="8" t="n">
        <f aca="false">DURATION(DATE(2026,1,1),DATE(2034,1,1),B1,B2,2)</f>
        <v>6.58509831476514</v>
      </c>
      <c r="H26" s="3" t="s">
        <v>25</v>
      </c>
    </row>
    <row r="27" customFormat="false" ht="15" hidden="false" customHeight="false" outlineLevel="0" collapsed="false">
      <c r="A27" s="1" t="s">
        <v>26</v>
      </c>
      <c r="B27" s="8" t="n">
        <f aca="false">MDURATION(DATE(2026,1,1),DATE(2034,1,1),B1,B2,2)</f>
        <v>6.36241383069096</v>
      </c>
      <c r="H27" s="3" t="s">
        <v>27</v>
      </c>
    </row>
    <row r="29" customFormat="false" ht="15" hidden="false" customHeight="false" outlineLevel="0" collapsed="false">
      <c r="A29" s="1" t="s">
        <v>28</v>
      </c>
      <c r="B29" s="2" t="n">
        <v>0.075</v>
      </c>
      <c r="H29" s="3" t="s">
        <v>3</v>
      </c>
    </row>
    <row r="30" customFormat="false" ht="15" hidden="false" customHeight="false" outlineLevel="0" collapsed="false">
      <c r="A30" s="14" t="s">
        <v>29</v>
      </c>
      <c r="B30" s="16" t="n">
        <f aca="false">-B25*(B29-B2)</f>
        <v>-0.0318120691534548</v>
      </c>
      <c r="H30" s="3" t="s">
        <v>30</v>
      </c>
    </row>
    <row r="31" customFormat="false" ht="15" hidden="false" customHeight="false" outlineLevel="0" collapsed="false">
      <c r="A31" s="14" t="s">
        <v>31</v>
      </c>
      <c r="B31" s="15" t="n">
        <f aca="false">PV(B29/2,B3,-B1*100/2,-100)</f>
        <v>85.1622936961189</v>
      </c>
      <c r="H31" s="3" t="s">
        <v>32</v>
      </c>
    </row>
    <row r="32" customFormat="false" ht="15" hidden="false" customHeight="false" outlineLevel="0" collapsed="false">
      <c r="A32" s="14" t="s">
        <v>33</v>
      </c>
      <c r="B32" s="16" t="n">
        <f aca="false">B31/D22-1</f>
        <v>-0.0312105333125934</v>
      </c>
      <c r="H32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2026-10-10T19:57:38Z</dcterms:created>
  <dc:creator>openpyxl</dc:creator>
  <dc:description/>
  <dc:language>en-US</dc:language>
  <cp:lastModifiedBy/>
  <dcterms:modified xsi:type="dcterms:W3CDTF">2026-10-10T19:57:38Z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