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 1 Statements" sheetId="1" state="visible" r:id="rId3"/>
    <sheet name="Part 2 Cash flows" sheetId="2" state="visible" r:id="rId4"/>
    <sheet name="Part 3 Bonds no dates" sheetId="3" state="visible" r:id="rId5"/>
    <sheet name="Part 4 Bonds with d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<sst xmlns="http://schemas.openxmlformats.org/spreadsheetml/2006/main" count="325" uniqueCount="293">
  <si>
    <t xml:space="preserve">Mock midterm answer key (v3), Part 1: Pemberton Supply Co. ($ millions)</t>
  </si>
  <si>
    <t xml:space="preserve">Built the way you would on exam day: type every given number straight into the statements, then fill the gaps with formulas.</t>
  </si>
  <si>
    <t xml:space="preserve">Blue = typed from the question.  Black = formula.  Yellow = an answer.  Column I explains each gap and shows the formula.</t>
  </si>
  <si>
    <t xml:space="preserve">Step 1. Income statement, 2025 (type the givens, subtract down)</t>
  </si>
  <si>
    <t xml:space="preserve">Line</t>
  </si>
  <si>
    <t xml:space="preserve">2025</t>
  </si>
  <si>
    <t xml:space="preserve">How it's filled</t>
  </si>
  <si>
    <t xml:space="preserve">Revenue</t>
  </si>
  <si>
    <t xml:space="preserve">– Cost of goods sold</t>
  </si>
  <si>
    <t xml:space="preserve">Gross profit</t>
  </si>
  <si>
    <t xml:space="preserve">Revenue – COGS:  =B7-B8</t>
  </si>
  <si>
    <t xml:space="preserve">– SG&amp;A</t>
  </si>
  <si>
    <t xml:space="preserve">EBITDA</t>
  </si>
  <si>
    <t xml:space="preserve">Gross profit – SG&amp;A:  =B9-B10</t>
  </si>
  <si>
    <t xml:space="preserve">– Depreciation</t>
  </si>
  <si>
    <t xml:space="preserve">EBIT</t>
  </si>
  <si>
    <t xml:space="preserve">EBITDA – depreciation:  =B11-B12</t>
  </si>
  <si>
    <t xml:space="preserve">– Interest expense</t>
  </si>
  <si>
    <t xml:space="preserve">Pretax income (EBT)</t>
  </si>
  <si>
    <t xml:space="preserve">EBIT – interest:  =B13-B14</t>
  </si>
  <si>
    <t xml:space="preserve">Tax rate</t>
  </si>
  <si>
    <t xml:space="preserve">– Taxes</t>
  </si>
  <si>
    <t xml:space="preserve">Tax rate × EBT:  =B16*B15</t>
  </si>
  <si>
    <t xml:space="preserve">Net income</t>
  </si>
  <si>
    <t xml:space="preserve">EBT – taxes:  =B15-B17</t>
  </si>
  <si>
    <t xml:space="preserve">– Dividends</t>
  </si>
  <si>
    <t xml:space="preserve">Addition to retained earnings</t>
  </si>
  <si>
    <t xml:space="preserve">NI – dividends. Needed for the balance sheet:  =B18-B19</t>
  </si>
  <si>
    <t xml:space="preserve">Step 2. Balance sheet (type everything given; leave the two unknowns blank for now)</t>
  </si>
  <si>
    <t xml:space="preserve">Assets</t>
  </si>
  <si>
    <t xml:space="preserve">2024</t>
  </si>
  <si>
    <t xml:space="preserve">Liabilities &amp; equity</t>
  </si>
  <si>
    <t xml:space="preserve">Cash</t>
  </si>
  <si>
    <t xml:space="preserve">Accounts payable</t>
  </si>
  <si>
    <t xml:space="preserve">Two numbers are missing for 2025: cash (C24) and equity (G29). Fill equity first, because cash depends on it.</t>
  </si>
  <si>
    <t xml:space="preserve">Accounts receivable</t>
  </si>
  <si>
    <t xml:space="preserve">Short-term debt</t>
  </si>
  <si>
    <t xml:space="preserve">Gap 1, equity (G29): no new shares were issued, so equity grows only by retained earnings.</t>
  </si>
  <si>
    <t xml:space="preserve">Inventory</t>
  </si>
  <si>
    <t xml:space="preserve">Total current liabilities</t>
  </si>
  <si>
    <t xml:space="preserve">   G29 =F29+B20  →  850 + 180 = 1,030</t>
  </si>
  <si>
    <t xml:space="preserve">Total current assets</t>
  </si>
  <si>
    <t xml:space="preserve">Long-term debt</t>
  </si>
  <si>
    <t xml:space="preserve">Gap 2, cash (C24): it is the only asset left, so it must make the two sides equal.</t>
  </si>
  <si>
    <t xml:space="preserve">Net PP&amp;E</t>
  </si>
  <si>
    <t xml:space="preserve">Total liabilities</t>
  </si>
  <si>
    <t xml:space="preserve">   C24 =G30-(C25+C26+C28)  →  1,750 – (230 + 280 + 1,080) = 160</t>
  </si>
  <si>
    <t xml:space="preserve">Shareholders' equity</t>
  </si>
  <si>
    <t xml:space="preserve">Net PP&amp;E is given as NET (already after depreciation). Do not subtract depreciation again.</t>
  </si>
  <si>
    <t xml:space="preserve">TOTAL ASSETS</t>
  </si>
  <si>
    <t xml:space="preserve">TOTAL LIABILITIES + EQUITY</t>
  </si>
  <si>
    <t xml:space="preserve">Total current assets must include cash: =SUM(C24:C26).</t>
  </si>
  <si>
    <t xml:space="preserve">Check: assets – (liabilities + equity)</t>
  </si>
  <si>
    <t xml:space="preserve">Both checks must show 0. In 2024 it confirms you typed the givens correctly.</t>
  </si>
  <si>
    <t xml:space="preserve">Step 3. Read the answers off the statements</t>
  </si>
  <si>
    <t xml:space="preserve">Question</t>
  </si>
  <si>
    <t xml:space="preserve">Answer</t>
  </si>
  <si>
    <t xml:space="preserve">Formula (and why)</t>
  </si>
  <si>
    <t xml:space="preserve">1.A  Gross profit</t>
  </si>
  <si>
    <t xml:space="preserve">=$B$9   (highlighted in Step 1)</t>
  </si>
  <si>
    <t xml:space="preserve">1.A  EBITDA</t>
  </si>
  <si>
    <t xml:space="preserve">=$B$11</t>
  </si>
  <si>
    <t xml:space="preserve">1.A  EBIT</t>
  </si>
  <si>
    <t xml:space="preserve">=$B$13</t>
  </si>
  <si>
    <t xml:space="preserve">1.A  Net income</t>
  </si>
  <si>
    <t xml:space="preserve">=$B$18</t>
  </si>
  <si>
    <t xml:space="preserve">1.B  Equity 12/31/2025</t>
  </si>
  <si>
    <t xml:space="preserve">=$G$29   (gap 1 on the balance sheet)</t>
  </si>
  <si>
    <t xml:space="preserve">1.C  Cash 12/31/2025</t>
  </si>
  <si>
    <t xml:space="preserve">=$C$24   (gap 2 on the balance sheet)</t>
  </si>
  <si>
    <t xml:space="preserve">1.C  Total assets 2025</t>
  </si>
  <si>
    <t xml:space="preserve">=$C$30</t>
  </si>
  <si>
    <t xml:space="preserve">Step 4. Cash flows, 2025 (changes come straight from the two balance sheet columns)</t>
  </si>
  <si>
    <t xml:space="preserve">   Change in AR</t>
  </si>
  <si>
    <t xml:space="preserve">=$C$25-$B$25   (this year – last year)</t>
  </si>
  <si>
    <t xml:space="preserve">   Change in inventory</t>
  </si>
  <si>
    <t xml:space="preserve">=$C$26-$B$26</t>
  </si>
  <si>
    <t xml:space="preserve">   Change in AP</t>
  </si>
  <si>
    <t xml:space="preserve">=$G$24-$F$24</t>
  </si>
  <si>
    <t xml:space="preserve">   Change in operating NWC</t>
  </si>
  <si>
    <t xml:space="preserve">=$B$44+$B$45-$B$46   (ΔAR + ΔInv – ΔAP)</t>
  </si>
  <si>
    <t xml:space="preserve">1.D  Cash flow from operations</t>
  </si>
  <si>
    <t xml:space="preserve">=$B$18+$B$12-$B$47   (NI + depreciation – ΔNWC)</t>
  </si>
  <si>
    <t xml:space="preserve">1.D  Capital expenditures</t>
  </si>
  <si>
    <t xml:space="preserve">=$C$28-$B$28+$B$12   (ΔNet PP&amp;E + depreciation)</t>
  </si>
  <si>
    <t xml:space="preserve">   Cash flow from investing</t>
  </si>
  <si>
    <t xml:space="preserve">=-$B$49</t>
  </si>
  <si>
    <t xml:space="preserve">   Cash flow from financing</t>
  </si>
  <si>
    <t xml:space="preserve">=($G$25+$G$27)-($F$25+$F$27)-$B$19   (new borrowing – dividends)</t>
  </si>
  <si>
    <t xml:space="preserve">   Check: CFO + CFI + CFF – change in cash</t>
  </si>
  <si>
    <t xml:space="preserve">=$B$48+$B$50+$B$51-($C$24-$B$24)   (must be 0)</t>
  </si>
  <si>
    <t xml:space="preserve">1.D  Free cash flow</t>
  </si>
  <si>
    <t xml:space="preserve">=$B$13*(1-$B$16)+$B$12-$B$49-$B$47   (EBIT(1–t) + dep – CapEx – ΔNWC)</t>
  </si>
  <si>
    <t xml:space="preserve">1.D  Textbook: operating cash flow</t>
  </si>
  <si>
    <t xml:space="preserve">=$B$13+$B$12-$B$17   (EBIT + depreciation – taxes)</t>
  </si>
  <si>
    <t xml:space="preserve">1.D  Textbook: net capital spending</t>
  </si>
  <si>
    <t xml:space="preserve">=$C$28-$B$28+$B$12   (ending – beginning net PP&amp;E + depreciation)</t>
  </si>
  <si>
    <t xml:space="preserve">1.D  Textbook: change in NWC (cash included)</t>
  </si>
  <si>
    <t xml:space="preserve">=($C$27-$G$26)-($B$27-$F$26)   ((CA – CL) 2025 – (CA – CL) 2024)</t>
  </si>
  <si>
    <t xml:space="preserve">1.D  Textbook: cash flow from assets</t>
  </si>
  <si>
    <t xml:space="preserve">=$B$54-$B$55-$B$56   (OCF – NCS – ΔNWC)</t>
  </si>
  <si>
    <t xml:space="preserve">1.D  Cash flow to creditors</t>
  </si>
  <si>
    <t xml:space="preserve">=$B$14-($G$27-$F$27)   (interest – net new long-term debt)</t>
  </si>
  <si>
    <t xml:space="preserve">1.D  Cash flow to stockholders</t>
  </si>
  <si>
    <t xml:space="preserve">=$B$19-0   (dividends – net new equity (none))</t>
  </si>
  <si>
    <t xml:space="preserve">   Check: CF from assets – (creditors + stockholders)</t>
  </si>
  <si>
    <t xml:space="preserve">=$B$57-($B$58+$B$59)   (must be 0)</t>
  </si>
  <si>
    <t xml:space="preserve">Step 5. Ratios (every input is a cell on the statements)</t>
  </si>
  <si>
    <t xml:space="preserve">1.E  ROE (year-end equity)</t>
  </si>
  <si>
    <t xml:space="preserve">=$B$18/$G$29</t>
  </si>
  <si>
    <t xml:space="preserve">1.E  Gross margin</t>
  </si>
  <si>
    <t xml:space="preserve">=$B$9/$B$7</t>
  </si>
  <si>
    <t xml:space="preserve">1.E  Profit margin</t>
  </si>
  <si>
    <t xml:space="preserve">=$B$18/$B$7</t>
  </si>
  <si>
    <t xml:space="preserve">1.E  Asset turnover</t>
  </si>
  <si>
    <t xml:space="preserve">=$B$7/$C$30</t>
  </si>
  <si>
    <t xml:space="preserve">1.E  Equity multiplier</t>
  </si>
  <si>
    <t xml:space="preserve">=$C$30/$G$29</t>
  </si>
  <si>
    <t xml:space="preserve">   Check: PM × ATO × EM</t>
  </si>
  <si>
    <t xml:space="preserve">=$B$65*$B$66*$B$67   (must equal ROE)</t>
  </si>
  <si>
    <t xml:space="preserve">   Retention ratio b</t>
  </si>
  <si>
    <t xml:space="preserve">=$B$20/$B$18</t>
  </si>
  <si>
    <t xml:space="preserve">   ROA</t>
  </si>
  <si>
    <t xml:space="preserve">=$B$18/$C$30</t>
  </si>
  <si>
    <t xml:space="preserve">1.F  Sustainable growth (textbook)</t>
  </si>
  <si>
    <t xml:space="preserve">=$B$63*$B$69/(1-$B$63*$B$69)   (ROE·b / (1 – ROE·b))</t>
  </si>
  <si>
    <t xml:space="preserve">   (simpler form ROE × b)</t>
  </si>
  <si>
    <t xml:space="preserve">=$B$63*$B$69</t>
  </si>
  <si>
    <t xml:space="preserve">1.F  Internal growth (textbook)</t>
  </si>
  <si>
    <t xml:space="preserve">=$B$70*$B$69/(1-$B$70*$B$69)   (ROA·b / (1 – ROA·b))</t>
  </si>
  <si>
    <t xml:space="preserve">   (simpler form ROA × b)</t>
  </si>
  <si>
    <t xml:space="preserve">=$B$70*$B$69</t>
  </si>
  <si>
    <t xml:space="preserve">1.G  Current ratio</t>
  </si>
  <si>
    <t xml:space="preserve">=$C$27/$G$26   (total current assets / total current liabilities)</t>
  </si>
  <si>
    <t xml:space="preserve">1.G  Interest coverage (EBIT / interest)</t>
  </si>
  <si>
    <t xml:space="preserve">=$B$13/$B$14</t>
  </si>
  <si>
    <t xml:space="preserve">1.G  Book debt-to-equity</t>
  </si>
  <si>
    <t xml:space="preserve">=($G$25+$G$27)/$G$29   (interest-bearing debt / equity)</t>
  </si>
  <si>
    <t xml:space="preserve">   (textbook: total liabilities / equity)</t>
  </si>
  <si>
    <t xml:space="preserve">=($G$26+$G$27)/$G$29</t>
  </si>
  <si>
    <t xml:space="preserve">Step 6. Market value (type the market data, then use the statements)</t>
  </si>
  <si>
    <t xml:space="preserve">Shares outstanding (millions)</t>
  </si>
  <si>
    <t xml:space="preserve">Share price ($)</t>
  </si>
  <si>
    <t xml:space="preserve">1.H  Market capitalization</t>
  </si>
  <si>
    <t xml:space="preserve">=$B$81*$B$82</t>
  </si>
  <si>
    <t xml:space="preserve">1.H  Enterprise value</t>
  </si>
  <si>
    <t xml:space="preserve">=$B$83+$G$25+$G$27-$C$24   (market cap + debt – cash (all cash treated as excess))</t>
  </si>
  <si>
    <t xml:space="preserve">1.H  EV / EBITDA</t>
  </si>
  <si>
    <t xml:space="preserve">=$B$84/$B$11</t>
  </si>
  <si>
    <t xml:space="preserve">1.H  P/E</t>
  </si>
  <si>
    <t xml:space="preserve">=$B$83/$B$18</t>
  </si>
  <si>
    <t xml:space="preserve">Mock midterm answer key, Part 2: Corrigan Steel settlement ($ millions)</t>
  </si>
  <si>
    <t xml:space="preserve">Blue = numbers typed in from the exam.  Black = formulas.  Yellow = the answer to submit.  Column C shows the exact formula in that row's B cell.</t>
  </si>
  <si>
    <t xml:space="preserve">Inputs</t>
  </si>
  <si>
    <t xml:space="preserve">Discount rate</t>
  </si>
  <si>
    <t xml:space="preserve">Annual payment (original)</t>
  </si>
  <si>
    <t xml:space="preserve">Number of payments</t>
  </si>
  <si>
    <t xml:space="preserve">First payment, growing plan</t>
  </si>
  <si>
    <t xml:space="preserve">Growth rate, growing plan</t>
  </si>
  <si>
    <t xml:space="preserve">Lump sum demanded</t>
  </si>
  <si>
    <t xml:space="preserve">Loan APR (monthly compounding)</t>
  </si>
  <si>
    <t xml:space="preserve">Loan term (years)</t>
  </si>
  <si>
    <t xml:space="preserve">Years of payments made</t>
  </si>
  <si>
    <t xml:space="preserve">Answers</t>
  </si>
  <si>
    <t xml:space="preserve">Formula</t>
  </si>
  <si>
    <t xml:space="preserve">Note</t>
  </si>
  <si>
    <t xml:space="preserve">2.A  PV of original settlement</t>
  </si>
  <si>
    <t xml:space="preserve">=PV($B$6,$B$8,-$B$7)</t>
  </si>
  <si>
    <t xml:space="preserve">Ordinary annuity, first payment at t=1</t>
  </si>
  <si>
    <t xml:space="preserve">   same by formula C/r x (1 - 1/(1+r)^N)</t>
  </si>
  <si>
    <t xml:space="preserve">=$B$7/$B$6*(1-1/(1+$B$6)^$B$8)</t>
  </si>
  <si>
    <t xml:space="preserve">2.B  PV of growing plan</t>
  </si>
  <si>
    <t xml:space="preserve">=$B$9/($B$6-$B$10)*(1-((1+$B$10)/(1+$B$6))^$B$8)</t>
  </si>
  <si>
    <t xml:space="preserve">Growing annuity formula</t>
  </si>
  <si>
    <t xml:space="preserve">   plaintiff prefers</t>
  </si>
  <si>
    <t xml:space="preserve">=IF($B$20&gt;$B$18,"growing plan","original plan")</t>
  </si>
  <si>
    <t xml:space="preserve">Pick the higher PV</t>
  </si>
  <si>
    <t xml:space="preserve">2.C  Implied discount rate for the $90 lump sum</t>
  </si>
  <si>
    <t xml:space="preserve">=RATE($B$8,$B$7,-$B$11)</t>
  </si>
  <si>
    <t xml:space="preserve">Rate at which 15 x $10 is worth exactly $90 today</t>
  </si>
  <si>
    <t xml:space="preserve">   Corrigan prefers</t>
  </si>
  <si>
    <t xml:space="preserve">=IF($B$11&gt;$B$18,"keep paying annually","pay the lump sum")</t>
  </si>
  <si>
    <t xml:space="preserve">At 8%, the annual stream costs only 85.59, less than 90</t>
  </si>
  <si>
    <t xml:space="preserve">2.D  Equal-PV payment if first payment is today</t>
  </si>
  <si>
    <t xml:space="preserve">=PMT($B$6,$B$8,-$B$18,0,1)</t>
  </si>
  <si>
    <t xml:space="preserve">type=1 means an annuity due. Equals 10/1.08.</t>
  </si>
  <si>
    <t xml:space="preserve">   Monthly rate</t>
  </si>
  <si>
    <t xml:space="preserve">=$B$12/12</t>
  </si>
  <si>
    <t xml:space="preserve">2.E  Monthly loan payment</t>
  </si>
  <si>
    <t xml:space="preserve">=PMT($B$25,12*$B$13,-$B$11)</t>
  </si>
  <si>
    <t xml:space="preserve">2.E  Effective annual rate of the loan</t>
  </si>
  <si>
    <t xml:space="preserve">=(1+$B$25)^12-1</t>
  </si>
  <si>
    <t xml:space="preserve">Same as =EFFECT(7.2%,12)</t>
  </si>
  <si>
    <t xml:space="preserve">2.F  Loan balance after 3 years</t>
  </si>
  <si>
    <t xml:space="preserve">=PV($B$25,12*($B$13-$B$14),-$B$26)</t>
  </si>
  <si>
    <t xml:space="preserve">Balance = PV of the 84 payments still owed</t>
  </si>
  <si>
    <t xml:space="preserve">   same with FV of what's left</t>
  </si>
  <si>
    <t xml:space="preserve">=FV($B$25,12*$B$14,$B$26,-$B$11)</t>
  </si>
  <si>
    <t xml:space="preserve">Must agree</t>
  </si>
  <si>
    <t xml:space="preserve">Mock midterm answer key, Part 3: Brewster Corp. bonds (period-based functions)</t>
  </si>
  <si>
    <t xml:space="preserve">Coupon rate (annual, paid semiannually)</t>
  </si>
  <si>
    <t xml:space="preserve">Original maturity (years)</t>
  </si>
  <si>
    <t xml:space="preserve">Years elapsed</t>
  </si>
  <si>
    <t xml:space="preserve">Yield now (APR)</t>
  </si>
  <si>
    <t xml:space="preserve">Face outstanding ($ millions)</t>
  </si>
  <si>
    <t xml:space="preserve">New bond maturity (years from today)</t>
  </si>
  <si>
    <t xml:space="preserve">Yield for 3.F (APR)</t>
  </si>
  <si>
    <t xml:space="preserve">   Periods remaining</t>
  </si>
  <si>
    <t xml:space="preserve">=2*($B$7-$B$8)</t>
  </si>
  <si>
    <t xml:space="preserve">3.A  Price per 100 face</t>
  </si>
  <si>
    <t xml:space="preserve">=PV($B$9/2,$B$16,-$B$6*100/2,-100)</t>
  </si>
  <si>
    <t xml:space="preserve">Discount bond: coupon 5% &lt; yield 7%</t>
  </si>
  <si>
    <t xml:space="preserve">3.B  Effective annual yield</t>
  </si>
  <si>
    <t xml:space="preserve">=(1+$B$9/2)^2-1</t>
  </si>
  <si>
    <t xml:space="preserve">3.C  Market value of the debt</t>
  </si>
  <si>
    <t xml:space="preserve">=$B$10*$B$17/100</t>
  </si>
  <si>
    <t xml:space="preserve">3.D  Coupon rate on new 10-year bond (same face)</t>
  </si>
  <si>
    <t xml:space="preserve">=2*PMT($B$9/2,2*$B$11,-$B$17,100)/100</t>
  </si>
  <si>
    <t xml:space="preserve">New bond must be worth today's price: solve for the coupon</t>
  </si>
  <si>
    <t xml:space="preserve">3.E  Duration the 'dumb' way (cash-flow timeline)</t>
  </si>
  <si>
    <t xml:space="preserve">Period k</t>
  </si>
  <si>
    <t xml:space="preserve">Years (k/2)</t>
  </si>
  <si>
    <t xml:space="preserve">Cash flow</t>
  </si>
  <si>
    <t xml:space="preserve">PV of CF</t>
  </si>
  <si>
    <t xml:space="preserve">Years x PV</t>
  </si>
  <si>
    <t xml:space="preserve">   Sum of PVs (must equal 3.A)</t>
  </si>
  <si>
    <t xml:space="preserve">=SUM(D24:D39)</t>
  </si>
  <si>
    <t xml:space="preserve">3.E  Macaulay duration (years)</t>
  </si>
  <si>
    <t xml:space="preserve">=SUM(E24:E39)/SUM(D24:D39)</t>
  </si>
  <si>
    <t xml:space="preserve">3.E  Modified duration</t>
  </si>
  <si>
    <t xml:space="preserve">=$B$42/(1+$B$9/2)</t>
  </si>
  <si>
    <t xml:space="preserve">   check: DURATION with dummy dates</t>
  </si>
  <si>
    <t xml:space="preserve">=DURATION(DATE(2026,1,1),DATE(2026+$B$16/2,1,1),$B$6,$B$9,2)</t>
  </si>
  <si>
    <t xml:space="preserve">Any two dates exactly 8 years apart work</t>
  </si>
  <si>
    <t xml:space="preserve">3.F  Estimated % change, yield 7% to 7.5%</t>
  </si>
  <si>
    <t xml:space="preserve">=-$B$43*($B$12-$B$9)</t>
  </si>
  <si>
    <t xml:space="preserve">3.F  Actual new price</t>
  </si>
  <si>
    <t xml:space="preserve">=PV($B$12/2,$B$16,-$B$6*100/2,-100)</t>
  </si>
  <si>
    <t xml:space="preserve">3.F  Actual % change</t>
  </si>
  <si>
    <t xml:space="preserve">=$B$46/$B$17-1</t>
  </si>
  <si>
    <t xml:space="preserve">Slightly smaller drop than estimated (convexity)</t>
  </si>
  <si>
    <t xml:space="preserve">Mock midterm answer key, Part 4: Hollis Outdoor bond (date-based functions)</t>
  </si>
  <si>
    <t xml:space="preserve">Settlement</t>
  </si>
  <si>
    <t xml:space="preserve">Frequency</t>
  </si>
  <si>
    <t xml:space="preserve">Treasury maturity</t>
  </si>
  <si>
    <t xml:space="preserve">Treasury coupon</t>
  </si>
  <si>
    <t xml:space="preserve">Treasury clean price</t>
  </si>
  <si>
    <t xml:space="preserve">Treasury basis</t>
  </si>
  <si>
    <t xml:space="preserve">Hollis maturity</t>
  </si>
  <si>
    <t xml:space="preserve">Hollis coupon</t>
  </si>
  <si>
    <t xml:space="preserve">Hollis basis</t>
  </si>
  <si>
    <t xml:space="preserve">Spread</t>
  </si>
  <si>
    <t xml:space="preserve">150 bp</t>
  </si>
  <si>
    <t xml:space="preserve">Yield change for 4.G</t>
  </si>
  <si>
    <t xml:space="preserve">-50 bp</t>
  </si>
  <si>
    <t xml:space="preserve">Amount to raise in 4.H ($ millions)</t>
  </si>
  <si>
    <t xml:space="preserve">Coupon on new bonds in 4.H</t>
  </si>
  <si>
    <t xml:space="preserve">4.A  Treasury YTM</t>
  </si>
  <si>
    <t xml:space="preserve">=YIELD($B$6,$B$8,$B$9,$B$10,100,$B$7,$B$11)</t>
  </si>
  <si>
    <t xml:space="preserve">4.B  Hollis YTM</t>
  </si>
  <si>
    <t xml:space="preserve">=$B$22+$B$15</t>
  </si>
  <si>
    <t xml:space="preserve">4.C  Clean price</t>
  </si>
  <si>
    <t xml:space="preserve">=PRICE($B$6,$B$12,$B$13,$B$23,100,$B$7,$B$14)</t>
  </si>
  <si>
    <t xml:space="preserve">4.D  Days since last coupon</t>
  </si>
  <si>
    <t xml:space="preserve">=COUPDAYBS($B$6,$B$12,$B$7,$B$14)</t>
  </si>
  <si>
    <t xml:space="preserve">5/15/2026 to 10/13/2026 on 30/360</t>
  </si>
  <si>
    <t xml:space="preserve">4.D  Days in coupon period</t>
  </si>
  <si>
    <t xml:space="preserve">=COUPDAYS($B$6,$B$12,$B$7,$B$14)</t>
  </si>
  <si>
    <t xml:space="preserve">4.D  Accrued interest</t>
  </si>
  <si>
    <t xml:space="preserve">=$B$13*100/$B$7*$B$25/$B$26</t>
  </si>
  <si>
    <t xml:space="preserve">4.E  Dealer quote (clean)</t>
  </si>
  <si>
    <t xml:space="preserve">=$B$24</t>
  </si>
  <si>
    <t xml:space="preserve">4.E  Price a buyer pays (dirty)</t>
  </si>
  <si>
    <t xml:space="preserve">=$B$24+$B$27</t>
  </si>
  <si>
    <t xml:space="preserve">4.F  Macaulay duration</t>
  </si>
  <si>
    <t xml:space="preserve">=DURATION($B$6,$B$12,$B$13,$B$23,$B$7,$B$14)</t>
  </si>
  <si>
    <t xml:space="preserve">4.F  Modified duration</t>
  </si>
  <si>
    <t xml:space="preserve">=MDURATION($B$6,$B$12,$B$13,$B$23,$B$7,$B$14)</t>
  </si>
  <si>
    <t xml:space="preserve">4.G  Estimated % change in dirty price, -50bp</t>
  </si>
  <si>
    <t xml:space="preserve">=-$B$31*$B$16</t>
  </si>
  <si>
    <t xml:space="preserve">Yield falls, so price RISES</t>
  </si>
  <si>
    <t xml:space="preserve">4.G  Actual % change</t>
  </si>
  <si>
    <t xml:space="preserve">=(PRICE($B$6,$B$12,$B$13,$B$23+$B$16,100,$B$7,$B$14)+$B$27)/$B$29-1</t>
  </si>
  <si>
    <t xml:space="preserve">Actual rise is a bit LARGER than estimated (convexity)</t>
  </si>
  <si>
    <t xml:space="preserve">4.H  Coupon if new 10-yr bonds issued at par</t>
  </si>
  <si>
    <t xml:space="preserve">=$B$23</t>
  </si>
  <si>
    <t xml:space="preserve">A bond sells at par exactly when coupon = yield</t>
  </si>
  <si>
    <t xml:space="preserve">   Price of new 10-yr 5% bond at the Hollis yield</t>
  </si>
  <si>
    <t xml:space="preserve">=PV($B$23/2,20,-$B$18*100/2,-100)</t>
  </si>
  <si>
    <t xml:space="preserve">New issue: no accrued interest, whole periods</t>
  </si>
  <si>
    <t xml:space="preserve">4.H  Face value needed to raise $250m with 5% coupon</t>
  </si>
  <si>
    <t xml:space="preserve">=$B$17/($B$35/100)</t>
  </si>
  <si>
    <t xml:space="preserve">Discount bond, so face &gt; cash raised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</si>
</sst>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%"/>
    <numFmt numFmtId="167" formatCode="0.00%"/>
    <numFmt numFmtId="168" formatCode="0.0000"/>
    <numFmt numFmtId="169" formatCode="0.00"/>
    <numFmt numFmtId="170" formatCode="0.00\x"/>
    <numFmt numFmtId="171" formatCode="0.0000%"/>
    <numFmt numFmtId="172" formatCode="0"/>
    <numFmt numFmtId="173" formatCode="#,##0.00"/>
    <numFmt numFmtId="174" formatCode="m/d/yyyy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04040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1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7" min="6" style="0" width="11"/>
    <col collapsed="false" customWidth="true" hidden="false" outlineLevel="0" max="8" min="8" style="0" width="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4</v>
      </c>
      <c r="B6" s="6" t="s">
        <v>5</v>
      </c>
      <c r="I6" s="7" t="s">
        <v>6</v>
      </c>
    </row>
    <row r="7" customFormat="false" ht="15" hidden="false" customHeight="false" outlineLevel="0" collapsed="false">
      <c r="A7" s="8" t="s">
        <v>7</v>
      </c>
      <c r="B7" s="9" t="n">
        <v>2400</v>
      </c>
    </row>
    <row r="8" customFormat="false" ht="15" hidden="false" customHeight="false" outlineLevel="0" collapsed="false">
      <c r="A8" s="8" t="s">
        <v>8</v>
      </c>
      <c r="B8" s="9" t="n">
        <v>1440</v>
      </c>
    </row>
    <row r="9" customFormat="false" ht="15" hidden="false" customHeight="false" outlineLevel="0" collapsed="false">
      <c r="A9" s="7" t="s">
        <v>9</v>
      </c>
      <c r="B9" s="10" t="n">
        <f aca="false">B7-B8</f>
        <v>960</v>
      </c>
      <c r="I9" s="3" t="s">
        <v>10</v>
      </c>
    </row>
    <row r="10" customFormat="false" ht="15" hidden="false" customHeight="false" outlineLevel="0" collapsed="false">
      <c r="A10" s="8" t="s">
        <v>11</v>
      </c>
      <c r="B10" s="9" t="n">
        <v>480</v>
      </c>
    </row>
    <row r="11" customFormat="false" ht="15" hidden="false" customHeight="false" outlineLevel="0" collapsed="false">
      <c r="A11" s="7" t="s">
        <v>12</v>
      </c>
      <c r="B11" s="10" t="n">
        <f aca="false">B9-B10</f>
        <v>480</v>
      </c>
      <c r="I11" s="3" t="s">
        <v>13</v>
      </c>
    </row>
    <row r="12" customFormat="false" ht="15" hidden="false" customHeight="false" outlineLevel="0" collapsed="false">
      <c r="A12" s="8" t="s">
        <v>14</v>
      </c>
      <c r="B12" s="9" t="n">
        <v>120</v>
      </c>
    </row>
    <row r="13" customFormat="false" ht="15" hidden="false" customHeight="false" outlineLevel="0" collapsed="false">
      <c r="A13" s="7" t="s">
        <v>15</v>
      </c>
      <c r="B13" s="10" t="n">
        <f aca="false">B11-B12</f>
        <v>360</v>
      </c>
      <c r="I13" s="3" t="s">
        <v>16</v>
      </c>
    </row>
    <row r="14" customFormat="false" ht="15" hidden="false" customHeight="false" outlineLevel="0" collapsed="false">
      <c r="A14" s="8" t="s">
        <v>17</v>
      </c>
      <c r="B14" s="9" t="n">
        <v>40</v>
      </c>
    </row>
    <row r="15" customFormat="false" ht="15" hidden="false" customHeight="false" outlineLevel="0" collapsed="false">
      <c r="A15" s="8" t="s">
        <v>18</v>
      </c>
      <c r="B15" s="11" t="n">
        <f aca="false">B13-B14</f>
        <v>320</v>
      </c>
      <c r="I15" s="3" t="s">
        <v>19</v>
      </c>
    </row>
    <row r="16" customFormat="false" ht="15" hidden="false" customHeight="false" outlineLevel="0" collapsed="false">
      <c r="A16" s="8" t="s">
        <v>20</v>
      </c>
      <c r="B16" s="12" t="n">
        <v>0.25</v>
      </c>
    </row>
    <row r="17" customFormat="false" ht="15" hidden="false" customHeight="false" outlineLevel="0" collapsed="false">
      <c r="A17" s="8" t="s">
        <v>21</v>
      </c>
      <c r="B17" s="11" t="n">
        <f aca="false">B16*B15</f>
        <v>80</v>
      </c>
      <c r="I17" s="3" t="s">
        <v>22</v>
      </c>
    </row>
    <row r="18" customFormat="false" ht="15" hidden="false" customHeight="false" outlineLevel="0" collapsed="false">
      <c r="A18" s="7" t="s">
        <v>23</v>
      </c>
      <c r="B18" s="10" t="n">
        <f aca="false">B15-B17</f>
        <v>240</v>
      </c>
      <c r="I18" s="3" t="s">
        <v>24</v>
      </c>
    </row>
    <row r="19" customFormat="false" ht="15" hidden="false" customHeight="false" outlineLevel="0" collapsed="false">
      <c r="A19" s="8" t="s">
        <v>25</v>
      </c>
      <c r="B19" s="9" t="n">
        <v>60</v>
      </c>
    </row>
    <row r="20" customFormat="false" ht="15" hidden="false" customHeight="false" outlineLevel="0" collapsed="false">
      <c r="A20" s="7" t="s">
        <v>26</v>
      </c>
      <c r="B20" s="13" t="n">
        <f aca="false">B18-B19</f>
        <v>180</v>
      </c>
      <c r="I20" s="3" t="s">
        <v>27</v>
      </c>
    </row>
    <row r="22" customFormat="false" ht="15" hidden="false" customHeight="false" outlineLevel="0" collapsed="false">
      <c r="A22" s="4" t="s">
        <v>28</v>
      </c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6" t="s">
        <v>29</v>
      </c>
      <c r="B23" s="6" t="s">
        <v>30</v>
      </c>
      <c r="C23" s="6" t="s">
        <v>5</v>
      </c>
      <c r="E23" s="6" t="s">
        <v>31</v>
      </c>
      <c r="F23" s="6" t="s">
        <v>30</v>
      </c>
      <c r="G23" s="6" t="s">
        <v>5</v>
      </c>
    </row>
    <row r="24" customFormat="false" ht="15" hidden="false" customHeight="false" outlineLevel="0" collapsed="false">
      <c r="A24" s="8" t="s">
        <v>32</v>
      </c>
      <c r="B24" s="9" t="n">
        <v>50</v>
      </c>
      <c r="C24" s="14" t="n">
        <f aca="false">G30-(C25+C26+C28)</f>
        <v>160</v>
      </c>
      <c r="E24" s="8" t="s">
        <v>33</v>
      </c>
      <c r="F24" s="9" t="n">
        <v>150</v>
      </c>
      <c r="G24" s="9" t="n">
        <v>170</v>
      </c>
      <c r="I24" s="7" t="s">
        <v>34</v>
      </c>
    </row>
    <row r="25" customFormat="false" ht="15" hidden="false" customHeight="false" outlineLevel="0" collapsed="false">
      <c r="A25" s="8" t="s">
        <v>35</v>
      </c>
      <c r="B25" s="9" t="n">
        <v>200</v>
      </c>
      <c r="C25" s="9" t="n">
        <v>230</v>
      </c>
      <c r="E25" s="8" t="s">
        <v>36</v>
      </c>
      <c r="F25" s="9" t="n">
        <v>100</v>
      </c>
      <c r="G25" s="9" t="n">
        <v>100</v>
      </c>
      <c r="I25" s="3" t="s">
        <v>37</v>
      </c>
    </row>
    <row r="26" customFormat="false" ht="15" hidden="false" customHeight="false" outlineLevel="0" collapsed="false">
      <c r="A26" s="8" t="s">
        <v>38</v>
      </c>
      <c r="B26" s="9" t="n">
        <v>250</v>
      </c>
      <c r="C26" s="9" t="n">
        <v>280</v>
      </c>
      <c r="E26" s="7" t="s">
        <v>39</v>
      </c>
      <c r="F26" s="13" t="n">
        <f aca="false">F24+F25</f>
        <v>250</v>
      </c>
      <c r="G26" s="13" t="n">
        <f aca="false">G24+G25</f>
        <v>270</v>
      </c>
      <c r="I26" s="3" t="s">
        <v>40</v>
      </c>
    </row>
    <row r="27" customFormat="false" ht="15" hidden="false" customHeight="false" outlineLevel="0" collapsed="false">
      <c r="A27" s="7" t="s">
        <v>41</v>
      </c>
      <c r="B27" s="13" t="n">
        <f aca="false">SUM(B24:B26)</f>
        <v>500</v>
      </c>
      <c r="C27" s="13" t="n">
        <f aca="false">SUM(C24:C26)</f>
        <v>670</v>
      </c>
      <c r="E27" s="8" t="s">
        <v>42</v>
      </c>
      <c r="F27" s="9" t="n">
        <v>400</v>
      </c>
      <c r="G27" s="9" t="n">
        <v>450</v>
      </c>
      <c r="I27" s="3" t="s">
        <v>43</v>
      </c>
    </row>
    <row r="28" customFormat="false" ht="15" hidden="false" customHeight="false" outlineLevel="0" collapsed="false">
      <c r="A28" s="8" t="s">
        <v>44</v>
      </c>
      <c r="B28" s="9" t="n">
        <v>1000</v>
      </c>
      <c r="C28" s="9" t="n">
        <v>1080</v>
      </c>
      <c r="E28" s="7" t="s">
        <v>45</v>
      </c>
      <c r="F28" s="13" t="n">
        <f aca="false">F26+F27</f>
        <v>650</v>
      </c>
      <c r="G28" s="13" t="n">
        <f aca="false">G26+G27</f>
        <v>720</v>
      </c>
      <c r="I28" s="3" t="s">
        <v>46</v>
      </c>
    </row>
    <row r="29" customFormat="false" ht="15" hidden="false" customHeight="false" outlineLevel="0" collapsed="false">
      <c r="E29" s="8" t="s">
        <v>47</v>
      </c>
      <c r="F29" s="9" t="n">
        <v>850</v>
      </c>
      <c r="G29" s="14" t="n">
        <f aca="false">F29+$B$20</f>
        <v>1030</v>
      </c>
      <c r="I29" s="3" t="s">
        <v>48</v>
      </c>
    </row>
    <row r="30" customFormat="false" ht="15" hidden="false" customHeight="false" outlineLevel="0" collapsed="false">
      <c r="A30" s="7" t="s">
        <v>49</v>
      </c>
      <c r="B30" s="13" t="n">
        <f aca="false">B27+B28</f>
        <v>1500</v>
      </c>
      <c r="C30" s="10" t="n">
        <f aca="false">C27+C28</f>
        <v>1750</v>
      </c>
      <c r="E30" s="7" t="s">
        <v>50</v>
      </c>
      <c r="F30" s="13" t="n">
        <f aca="false">F28+F29</f>
        <v>1500</v>
      </c>
      <c r="G30" s="13" t="n">
        <f aca="false">G28+G29</f>
        <v>1750</v>
      </c>
      <c r="I30" s="3" t="s">
        <v>51</v>
      </c>
    </row>
    <row r="31" customFormat="false" ht="15" hidden="false" customHeight="false" outlineLevel="0" collapsed="false">
      <c r="A31" s="3" t="s">
        <v>52</v>
      </c>
      <c r="B31" s="15" t="n">
        <f aca="false">B30-F30</f>
        <v>0</v>
      </c>
      <c r="C31" s="15" t="n">
        <f aca="false">C30-G30</f>
        <v>0</v>
      </c>
      <c r="I31" s="3" t="s">
        <v>53</v>
      </c>
    </row>
    <row r="33" customFormat="false" ht="15" hidden="false" customHeight="false" outlineLevel="0" collapsed="false">
      <c r="A33" s="4" t="s">
        <v>54</v>
      </c>
      <c r="B33" s="5"/>
      <c r="C33" s="5"/>
      <c r="D33" s="5"/>
      <c r="E33" s="5"/>
      <c r="F33" s="5"/>
      <c r="G33" s="5"/>
    </row>
    <row r="34" customFormat="false" ht="15" hidden="false" customHeight="false" outlineLevel="0" collapsed="false">
      <c r="A34" s="6" t="s">
        <v>55</v>
      </c>
      <c r="B34" s="6" t="s">
        <v>56</v>
      </c>
      <c r="I34" s="7" t="s">
        <v>57</v>
      </c>
    </row>
    <row r="35" customFormat="false" ht="15" hidden="false" customHeight="false" outlineLevel="0" collapsed="false">
      <c r="A35" s="16" t="s">
        <v>58</v>
      </c>
      <c r="B35" s="10" t="n">
        <f aca="false">$B$9</f>
        <v>960</v>
      </c>
      <c r="I35" s="17" t="s">
        <v>59</v>
      </c>
    </row>
    <row r="36" customFormat="false" ht="15" hidden="false" customHeight="false" outlineLevel="0" collapsed="false">
      <c r="A36" s="16" t="s">
        <v>60</v>
      </c>
      <c r="B36" s="10" t="n">
        <f aca="false">$B$11</f>
        <v>480</v>
      </c>
      <c r="I36" s="17" t="s">
        <v>61</v>
      </c>
    </row>
    <row r="37" customFormat="false" ht="15" hidden="false" customHeight="false" outlineLevel="0" collapsed="false">
      <c r="A37" s="16" t="s">
        <v>62</v>
      </c>
      <c r="B37" s="10" t="n">
        <f aca="false">$B$13</f>
        <v>360</v>
      </c>
      <c r="I37" s="17" t="s">
        <v>63</v>
      </c>
    </row>
    <row r="38" customFormat="false" ht="15" hidden="false" customHeight="false" outlineLevel="0" collapsed="false">
      <c r="A38" s="16" t="s">
        <v>64</v>
      </c>
      <c r="B38" s="10" t="n">
        <f aca="false">$B$18</f>
        <v>240</v>
      </c>
      <c r="I38" s="17" t="s">
        <v>65</v>
      </c>
    </row>
    <row r="39" customFormat="false" ht="15" hidden="false" customHeight="false" outlineLevel="0" collapsed="false">
      <c r="A39" s="16" t="s">
        <v>66</v>
      </c>
      <c r="B39" s="10" t="n">
        <f aca="false">$G$29</f>
        <v>1030</v>
      </c>
      <c r="I39" s="17" t="s">
        <v>67</v>
      </c>
    </row>
    <row r="40" customFormat="false" ht="15" hidden="false" customHeight="false" outlineLevel="0" collapsed="false">
      <c r="A40" s="16" t="s">
        <v>68</v>
      </c>
      <c r="B40" s="10" t="n">
        <f aca="false">$C$24</f>
        <v>160</v>
      </c>
      <c r="I40" s="17" t="s">
        <v>69</v>
      </c>
    </row>
    <row r="41" customFormat="false" ht="15" hidden="false" customHeight="false" outlineLevel="0" collapsed="false">
      <c r="A41" s="16" t="s">
        <v>70</v>
      </c>
      <c r="B41" s="10" t="n">
        <f aca="false">$C$30</f>
        <v>1750</v>
      </c>
      <c r="I41" s="17" t="s">
        <v>71</v>
      </c>
    </row>
    <row r="42" customFormat="false" ht="15" hidden="false" customHeight="false" outlineLevel="0" collapsed="false">
      <c r="A42" s="4" t="s">
        <v>72</v>
      </c>
      <c r="B42" s="5"/>
      <c r="C42" s="5"/>
      <c r="D42" s="5"/>
      <c r="E42" s="5"/>
      <c r="F42" s="5"/>
      <c r="G42" s="5"/>
    </row>
    <row r="43" customFormat="false" ht="15" hidden="false" customHeight="false" outlineLevel="0" collapsed="false">
      <c r="A43" s="6" t="s">
        <v>55</v>
      </c>
      <c r="B43" s="6" t="s">
        <v>56</v>
      </c>
      <c r="I43" s="7" t="s">
        <v>57</v>
      </c>
    </row>
    <row r="44" customFormat="false" ht="15" hidden="false" customHeight="false" outlineLevel="0" collapsed="false">
      <c r="A44" s="8" t="s">
        <v>73</v>
      </c>
      <c r="B44" s="11" t="n">
        <f aca="false">$C$25-$B$25</f>
        <v>30</v>
      </c>
      <c r="I44" s="17" t="s">
        <v>74</v>
      </c>
    </row>
    <row r="45" customFormat="false" ht="15" hidden="false" customHeight="false" outlineLevel="0" collapsed="false">
      <c r="A45" s="8" t="s">
        <v>75</v>
      </c>
      <c r="B45" s="11" t="n">
        <f aca="false">$C$26-$B$26</f>
        <v>30</v>
      </c>
      <c r="I45" s="17" t="s">
        <v>76</v>
      </c>
    </row>
    <row r="46" customFormat="false" ht="15" hidden="false" customHeight="false" outlineLevel="0" collapsed="false">
      <c r="A46" s="8" t="s">
        <v>77</v>
      </c>
      <c r="B46" s="11" t="n">
        <f aca="false">$G$24-$F$24</f>
        <v>20</v>
      </c>
      <c r="I46" s="17" t="s">
        <v>78</v>
      </c>
    </row>
    <row r="47" customFormat="false" ht="15" hidden="false" customHeight="false" outlineLevel="0" collapsed="false">
      <c r="A47" s="8" t="s">
        <v>79</v>
      </c>
      <c r="B47" s="11" t="n">
        <f aca="false">$B$44+$B$45-$B$46</f>
        <v>40</v>
      </c>
      <c r="I47" s="17" t="s">
        <v>80</v>
      </c>
    </row>
    <row r="48" customFormat="false" ht="15" hidden="false" customHeight="false" outlineLevel="0" collapsed="false">
      <c r="A48" s="16" t="s">
        <v>81</v>
      </c>
      <c r="B48" s="10" t="n">
        <f aca="false">$B$18+$B$12-$B$47</f>
        <v>320</v>
      </c>
      <c r="I48" s="17" t="s">
        <v>82</v>
      </c>
    </row>
    <row r="49" customFormat="false" ht="15" hidden="false" customHeight="false" outlineLevel="0" collapsed="false">
      <c r="A49" s="16" t="s">
        <v>83</v>
      </c>
      <c r="B49" s="10" t="n">
        <f aca="false">$C$28-$B$28+$B$12</f>
        <v>200</v>
      </c>
      <c r="I49" s="17" t="s">
        <v>84</v>
      </c>
    </row>
    <row r="50" customFormat="false" ht="15" hidden="false" customHeight="false" outlineLevel="0" collapsed="false">
      <c r="A50" s="8" t="s">
        <v>85</v>
      </c>
      <c r="B50" s="11" t="n">
        <f aca="false">-$B$49</f>
        <v>-200</v>
      </c>
      <c r="I50" s="17" t="s">
        <v>86</v>
      </c>
    </row>
    <row r="51" customFormat="false" ht="15" hidden="false" customHeight="false" outlineLevel="0" collapsed="false">
      <c r="A51" s="8" t="s">
        <v>87</v>
      </c>
      <c r="B51" s="11" t="n">
        <f aca="false">($G$25+$G$27)-($F$25+$F$27)-$B$19</f>
        <v>-10</v>
      </c>
      <c r="I51" s="17" t="s">
        <v>88</v>
      </c>
    </row>
    <row r="52" customFormat="false" ht="15" hidden="false" customHeight="false" outlineLevel="0" collapsed="false">
      <c r="A52" s="8" t="s">
        <v>89</v>
      </c>
      <c r="B52" s="11" t="n">
        <f aca="false">$B$48+$B$50+$B$51-($C$24-$B$24)</f>
        <v>0</v>
      </c>
      <c r="I52" s="17" t="s">
        <v>90</v>
      </c>
    </row>
    <row r="53" customFormat="false" ht="15" hidden="false" customHeight="false" outlineLevel="0" collapsed="false">
      <c r="A53" s="16" t="s">
        <v>91</v>
      </c>
      <c r="B53" s="10" t="n">
        <f aca="false">$B$13*(1-$B$16)+$B$12-$B$49-$B$47</f>
        <v>150</v>
      </c>
      <c r="I53" s="17" t="s">
        <v>92</v>
      </c>
    </row>
    <row r="54" customFormat="false" ht="15" hidden="false" customHeight="false" outlineLevel="0" collapsed="false">
      <c r="A54" s="16" t="s">
        <v>93</v>
      </c>
      <c r="B54" s="10" t="n">
        <f aca="false">$B$13+$B$12-$B$17</f>
        <v>400</v>
      </c>
      <c r="I54" s="17" t="s">
        <v>94</v>
      </c>
    </row>
    <row r="55" customFormat="false" ht="15" hidden="false" customHeight="false" outlineLevel="0" collapsed="false">
      <c r="A55" s="16" t="s">
        <v>95</v>
      </c>
      <c r="B55" s="10" t="n">
        <f aca="false">$C$28-$B$28+$B$12</f>
        <v>200</v>
      </c>
      <c r="I55" s="17" t="s">
        <v>96</v>
      </c>
    </row>
    <row r="56" customFormat="false" ht="15" hidden="false" customHeight="false" outlineLevel="0" collapsed="false">
      <c r="A56" s="16" t="s">
        <v>97</v>
      </c>
      <c r="B56" s="10" t="n">
        <f aca="false">($C$27-$G$26)-($B$27-$F$26)</f>
        <v>150</v>
      </c>
      <c r="I56" s="17" t="s">
        <v>98</v>
      </c>
    </row>
    <row r="57" customFormat="false" ht="15" hidden="false" customHeight="false" outlineLevel="0" collapsed="false">
      <c r="A57" s="16" t="s">
        <v>99</v>
      </c>
      <c r="B57" s="10" t="n">
        <f aca="false">$B$54-$B$55-$B$56</f>
        <v>50</v>
      </c>
      <c r="I57" s="17" t="s">
        <v>100</v>
      </c>
    </row>
    <row r="58" customFormat="false" ht="15" hidden="false" customHeight="false" outlineLevel="0" collapsed="false">
      <c r="A58" s="16" t="s">
        <v>101</v>
      </c>
      <c r="B58" s="10" t="n">
        <f aca="false">$B$14-($G$27-$F$27)</f>
        <v>-10</v>
      </c>
      <c r="I58" s="17" t="s">
        <v>102</v>
      </c>
    </row>
    <row r="59" customFormat="false" ht="15" hidden="false" customHeight="false" outlineLevel="0" collapsed="false">
      <c r="A59" s="16" t="s">
        <v>103</v>
      </c>
      <c r="B59" s="10" t="n">
        <f aca="false">$B$19-0</f>
        <v>60</v>
      </c>
      <c r="I59" s="17" t="s">
        <v>104</v>
      </c>
    </row>
    <row r="60" customFormat="false" ht="15" hidden="false" customHeight="false" outlineLevel="0" collapsed="false">
      <c r="A60" s="8" t="s">
        <v>105</v>
      </c>
      <c r="B60" s="11" t="n">
        <f aca="false">$B$57-($B$58+$B$59)</f>
        <v>0</v>
      </c>
      <c r="I60" s="17" t="s">
        <v>106</v>
      </c>
    </row>
    <row r="61" customFormat="false" ht="15" hidden="false" customHeight="false" outlineLevel="0" collapsed="false">
      <c r="A61" s="4" t="s">
        <v>107</v>
      </c>
      <c r="B61" s="5"/>
      <c r="C61" s="5"/>
      <c r="D61" s="5"/>
      <c r="E61" s="5"/>
      <c r="F61" s="5"/>
      <c r="G61" s="5"/>
    </row>
    <row r="62" customFormat="false" ht="15" hidden="false" customHeight="false" outlineLevel="0" collapsed="false">
      <c r="A62" s="6" t="s">
        <v>55</v>
      </c>
      <c r="B62" s="6" t="s">
        <v>56</v>
      </c>
      <c r="I62" s="7" t="s">
        <v>57</v>
      </c>
    </row>
    <row r="63" customFormat="false" ht="15" hidden="false" customHeight="false" outlineLevel="0" collapsed="false">
      <c r="A63" s="16" t="s">
        <v>108</v>
      </c>
      <c r="B63" s="18" t="n">
        <f aca="false">$B$18/$G$29</f>
        <v>0.233009708737864</v>
      </c>
      <c r="I63" s="17" t="s">
        <v>109</v>
      </c>
    </row>
    <row r="64" customFormat="false" ht="15" hidden="false" customHeight="false" outlineLevel="0" collapsed="false">
      <c r="A64" s="16" t="s">
        <v>110</v>
      </c>
      <c r="B64" s="18" t="n">
        <f aca="false">$B$9/$B$7</f>
        <v>0.4</v>
      </c>
      <c r="I64" s="17" t="s">
        <v>111</v>
      </c>
    </row>
    <row r="65" customFormat="false" ht="15" hidden="false" customHeight="false" outlineLevel="0" collapsed="false">
      <c r="A65" s="16" t="s">
        <v>112</v>
      </c>
      <c r="B65" s="18" t="n">
        <f aca="false">$B$18/$B$7</f>
        <v>0.1</v>
      </c>
      <c r="I65" s="17" t="s">
        <v>113</v>
      </c>
    </row>
    <row r="66" customFormat="false" ht="15" hidden="false" customHeight="false" outlineLevel="0" collapsed="false">
      <c r="A66" s="16" t="s">
        <v>114</v>
      </c>
      <c r="B66" s="19" t="n">
        <f aca="false">$B$7/$C$30</f>
        <v>1.37142857142857</v>
      </c>
      <c r="I66" s="17" t="s">
        <v>115</v>
      </c>
    </row>
    <row r="67" customFormat="false" ht="15" hidden="false" customHeight="false" outlineLevel="0" collapsed="false">
      <c r="A67" s="16" t="s">
        <v>116</v>
      </c>
      <c r="B67" s="19" t="n">
        <f aca="false">$C$30/$G$29</f>
        <v>1.69902912621359</v>
      </c>
      <c r="I67" s="17" t="s">
        <v>117</v>
      </c>
    </row>
    <row r="68" customFormat="false" ht="15" hidden="false" customHeight="false" outlineLevel="0" collapsed="false">
      <c r="A68" s="8" t="s">
        <v>118</v>
      </c>
      <c r="B68" s="20" t="n">
        <f aca="false">$B$65*$B$66*$B$67</f>
        <v>0.233009708737864</v>
      </c>
      <c r="I68" s="17" t="s">
        <v>119</v>
      </c>
    </row>
    <row r="69" customFormat="false" ht="15" hidden="false" customHeight="false" outlineLevel="0" collapsed="false">
      <c r="A69" s="8" t="s">
        <v>120</v>
      </c>
      <c r="B69" s="21" t="n">
        <f aca="false">$B$20/$B$18</f>
        <v>0.75</v>
      </c>
      <c r="I69" s="17" t="s">
        <v>121</v>
      </c>
    </row>
    <row r="70" customFormat="false" ht="15" hidden="false" customHeight="false" outlineLevel="0" collapsed="false">
      <c r="A70" s="8" t="s">
        <v>122</v>
      </c>
      <c r="B70" s="20" t="n">
        <f aca="false">$B$18/$C$30</f>
        <v>0.137142857142857</v>
      </c>
      <c r="I70" s="17" t="s">
        <v>123</v>
      </c>
    </row>
    <row r="71" customFormat="false" ht="15" hidden="false" customHeight="false" outlineLevel="0" collapsed="false">
      <c r="A71" s="16" t="s">
        <v>124</v>
      </c>
      <c r="B71" s="18" t="n">
        <f aca="false">$B$63*$B$69/(1-$B$63*$B$69)</f>
        <v>0.211764705882353</v>
      </c>
      <c r="I71" s="17" t="s">
        <v>125</v>
      </c>
    </row>
    <row r="72" customFormat="false" ht="15" hidden="false" customHeight="false" outlineLevel="0" collapsed="false">
      <c r="A72" s="8" t="s">
        <v>126</v>
      </c>
      <c r="B72" s="20" t="n">
        <f aca="false">$B$63*$B$69</f>
        <v>0.174757281553398</v>
      </c>
      <c r="I72" s="17" t="s">
        <v>127</v>
      </c>
    </row>
    <row r="73" customFormat="false" ht="15" hidden="false" customHeight="false" outlineLevel="0" collapsed="false">
      <c r="A73" s="16" t="s">
        <v>128</v>
      </c>
      <c r="B73" s="18" t="n">
        <f aca="false">$B$70*$B$69/(1-$B$70*$B$69)</f>
        <v>0.114649681528662</v>
      </c>
      <c r="I73" s="17" t="s">
        <v>129</v>
      </c>
    </row>
    <row r="74" customFormat="false" ht="15" hidden="false" customHeight="false" outlineLevel="0" collapsed="false">
      <c r="A74" s="8" t="s">
        <v>130</v>
      </c>
      <c r="B74" s="20" t="n">
        <f aca="false">$B$70*$B$69</f>
        <v>0.102857142857143</v>
      </c>
      <c r="I74" s="17" t="s">
        <v>131</v>
      </c>
    </row>
    <row r="75" customFormat="false" ht="15" hidden="false" customHeight="false" outlineLevel="0" collapsed="false">
      <c r="A75" s="16" t="s">
        <v>132</v>
      </c>
      <c r="B75" s="22" t="n">
        <f aca="false">$C$27/$G$26</f>
        <v>2.48148148148148</v>
      </c>
      <c r="I75" s="17" t="s">
        <v>133</v>
      </c>
    </row>
    <row r="76" customFormat="false" ht="15" hidden="false" customHeight="false" outlineLevel="0" collapsed="false">
      <c r="A76" s="16" t="s">
        <v>134</v>
      </c>
      <c r="B76" s="23" t="n">
        <f aca="false">$B$13/$B$14</f>
        <v>9</v>
      </c>
      <c r="I76" s="17" t="s">
        <v>135</v>
      </c>
    </row>
    <row r="77" customFormat="false" ht="15" hidden="false" customHeight="false" outlineLevel="0" collapsed="false">
      <c r="A77" s="16" t="s">
        <v>136</v>
      </c>
      <c r="B77" s="19" t="n">
        <f aca="false">($G$25+$G$27)/$G$29</f>
        <v>0.533980582524272</v>
      </c>
      <c r="I77" s="17" t="s">
        <v>137</v>
      </c>
    </row>
    <row r="78" customFormat="false" ht="15" hidden="false" customHeight="false" outlineLevel="0" collapsed="false">
      <c r="A78" s="8" t="s">
        <v>138</v>
      </c>
      <c r="B78" s="21" t="n">
        <f aca="false">($G$26+$G$27)/$G$29</f>
        <v>0.699029126213592</v>
      </c>
      <c r="I78" s="17" t="s">
        <v>139</v>
      </c>
    </row>
    <row r="79" customFormat="false" ht="15" hidden="false" customHeight="false" outlineLevel="0" collapsed="false">
      <c r="A79" s="4" t="s">
        <v>140</v>
      </c>
      <c r="B79" s="5"/>
      <c r="C79" s="5"/>
      <c r="D79" s="5"/>
      <c r="E79" s="5"/>
      <c r="F79" s="5"/>
      <c r="G79" s="5"/>
    </row>
    <row r="80" customFormat="false" ht="15" hidden="false" customHeight="false" outlineLevel="0" collapsed="false">
      <c r="A80" s="6" t="s">
        <v>55</v>
      </c>
      <c r="B80" s="6" t="s">
        <v>56</v>
      </c>
      <c r="I80" s="7" t="s">
        <v>57</v>
      </c>
    </row>
    <row r="81" customFormat="false" ht="15" hidden="false" customHeight="false" outlineLevel="0" collapsed="false">
      <c r="A81" s="8" t="s">
        <v>141</v>
      </c>
      <c r="B81" s="9" t="n">
        <v>50</v>
      </c>
    </row>
    <row r="82" customFormat="false" ht="15" hidden="false" customHeight="false" outlineLevel="0" collapsed="false">
      <c r="A82" s="8" t="s">
        <v>142</v>
      </c>
      <c r="B82" s="24" t="n">
        <v>40</v>
      </c>
    </row>
    <row r="83" customFormat="false" ht="15" hidden="false" customHeight="false" outlineLevel="0" collapsed="false">
      <c r="A83" s="16" t="s">
        <v>143</v>
      </c>
      <c r="B83" s="10" t="n">
        <f aca="false">$B$81*$B$82</f>
        <v>2000</v>
      </c>
      <c r="I83" s="17" t="s">
        <v>144</v>
      </c>
    </row>
    <row r="84" customFormat="false" ht="15" hidden="false" customHeight="false" outlineLevel="0" collapsed="false">
      <c r="A84" s="16" t="s">
        <v>145</v>
      </c>
      <c r="B84" s="10" t="n">
        <f aca="false">$B$83+$G$25+$G$27-$C$24</f>
        <v>2390</v>
      </c>
      <c r="I84" s="17" t="s">
        <v>146</v>
      </c>
    </row>
    <row r="85" customFormat="false" ht="15" hidden="false" customHeight="false" outlineLevel="0" collapsed="false">
      <c r="A85" s="16" t="s">
        <v>147</v>
      </c>
      <c r="B85" s="23" t="n">
        <f aca="false">$B$84/$B$11</f>
        <v>4.97916666666667</v>
      </c>
      <c r="I85" s="17" t="s">
        <v>148</v>
      </c>
    </row>
    <row r="86" customFormat="false" ht="15" hidden="false" customHeight="false" outlineLevel="0" collapsed="false">
      <c r="A86" s="16" t="s">
        <v>149</v>
      </c>
      <c r="B86" s="23" t="n">
        <f aca="false">$B$83/$B$18</f>
        <v>8.33333333333333</v>
      </c>
      <c r="I86" s="17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3" t="s">
        <v>152</v>
      </c>
    </row>
    <row r="5" customFormat="false" ht="15" hidden="false" customHeight="false" outlineLevel="0" collapsed="false">
      <c r="A5" s="4" t="s">
        <v>153</v>
      </c>
      <c r="B5" s="5"/>
      <c r="C5" s="5"/>
      <c r="D5" s="5"/>
    </row>
    <row r="6" customFormat="false" ht="15" hidden="false" customHeight="false" outlineLevel="0" collapsed="false">
      <c r="A6" s="8" t="s">
        <v>154</v>
      </c>
      <c r="B6" s="25" t="n">
        <v>0.08</v>
      </c>
    </row>
    <row r="7" customFormat="false" ht="15" hidden="false" customHeight="false" outlineLevel="0" collapsed="false">
      <c r="A7" s="8" t="s">
        <v>155</v>
      </c>
      <c r="B7" s="26" t="n">
        <v>10</v>
      </c>
    </row>
    <row r="8" customFormat="false" ht="15" hidden="false" customHeight="false" outlineLevel="0" collapsed="false">
      <c r="A8" s="8" t="s">
        <v>156</v>
      </c>
      <c r="B8" s="26" t="n">
        <v>15</v>
      </c>
    </row>
    <row r="9" customFormat="false" ht="15" hidden="false" customHeight="false" outlineLevel="0" collapsed="false">
      <c r="A9" s="8" t="s">
        <v>157</v>
      </c>
      <c r="B9" s="26" t="n">
        <v>7</v>
      </c>
    </row>
    <row r="10" customFormat="false" ht="15" hidden="false" customHeight="false" outlineLevel="0" collapsed="false">
      <c r="A10" s="8" t="s">
        <v>158</v>
      </c>
      <c r="B10" s="25" t="n">
        <v>0.04</v>
      </c>
    </row>
    <row r="11" customFormat="false" ht="15" hidden="false" customHeight="false" outlineLevel="0" collapsed="false">
      <c r="A11" s="8" t="s">
        <v>159</v>
      </c>
      <c r="B11" s="26" t="n">
        <v>90</v>
      </c>
    </row>
    <row r="12" customFormat="false" ht="15" hidden="false" customHeight="false" outlineLevel="0" collapsed="false">
      <c r="A12" s="8" t="s">
        <v>160</v>
      </c>
      <c r="B12" s="25" t="n">
        <v>0.072</v>
      </c>
    </row>
    <row r="13" customFormat="false" ht="15" hidden="false" customHeight="false" outlineLevel="0" collapsed="false">
      <c r="A13" s="8" t="s">
        <v>161</v>
      </c>
      <c r="B13" s="26" t="n">
        <v>10</v>
      </c>
    </row>
    <row r="14" customFormat="false" ht="15" hidden="false" customHeight="false" outlineLevel="0" collapsed="false">
      <c r="A14" s="8" t="s">
        <v>162</v>
      </c>
      <c r="B14" s="26" t="n">
        <v>3</v>
      </c>
    </row>
    <row r="16" customFormat="false" ht="15" hidden="false" customHeight="false" outlineLevel="0" collapsed="false">
      <c r="A16" s="4" t="s">
        <v>163</v>
      </c>
      <c r="B16" s="5"/>
      <c r="C16" s="5"/>
      <c r="D16" s="5"/>
    </row>
    <row r="17" customFormat="false" ht="15" hidden="false" customHeight="false" outlineLevel="0" collapsed="false">
      <c r="A17" s="6" t="s">
        <v>55</v>
      </c>
      <c r="B17" s="6" t="s">
        <v>56</v>
      </c>
      <c r="C17" s="6" t="s">
        <v>164</v>
      </c>
      <c r="D17" s="6" t="s">
        <v>165</v>
      </c>
    </row>
    <row r="18" customFormat="false" ht="15" hidden="false" customHeight="false" outlineLevel="0" collapsed="false">
      <c r="A18" s="16" t="s">
        <v>166</v>
      </c>
      <c r="B18" s="19" t="n">
        <f aca="false">PV($B$6,$B$8,-$B$7)</f>
        <v>85.5947868792638</v>
      </c>
      <c r="C18" s="17" t="s">
        <v>167</v>
      </c>
      <c r="D18" s="3" t="s">
        <v>168</v>
      </c>
    </row>
    <row r="19" customFormat="false" ht="15" hidden="false" customHeight="false" outlineLevel="0" collapsed="false">
      <c r="A19" s="8" t="s">
        <v>169</v>
      </c>
      <c r="B19" s="21" t="n">
        <f aca="false">$B$7/$B$6*(1-1/(1+$B$6)^$B$8)</f>
        <v>85.5947868792638</v>
      </c>
      <c r="C19" s="17" t="s">
        <v>170</v>
      </c>
    </row>
    <row r="20" customFormat="false" ht="15" hidden="false" customHeight="false" outlineLevel="0" collapsed="false">
      <c r="A20" s="16" t="s">
        <v>171</v>
      </c>
      <c r="B20" s="19" t="n">
        <f aca="false">$B$9/($B$6-$B$10)*(1-((1+$B$10)/(1+$B$6))^$B$8)</f>
        <v>75.6468122859318</v>
      </c>
      <c r="C20" s="17" t="s">
        <v>172</v>
      </c>
      <c r="D20" s="3" t="s">
        <v>173</v>
      </c>
    </row>
    <row r="21" customFormat="false" ht="15" hidden="false" customHeight="false" outlineLevel="0" collapsed="false">
      <c r="A21" s="8" t="s">
        <v>174</v>
      </c>
      <c r="B21" s="8" t="str">
        <f aca="false">IF($B$20&gt;$B$18,"growing plan","original plan")</f>
        <v>original plan</v>
      </c>
      <c r="C21" s="17" t="s">
        <v>175</v>
      </c>
      <c r="D21" s="3" t="s">
        <v>176</v>
      </c>
    </row>
    <row r="22" customFormat="false" ht="15" hidden="false" customHeight="false" outlineLevel="0" collapsed="false">
      <c r="A22" s="16" t="s">
        <v>177</v>
      </c>
      <c r="B22" s="27" t="n">
        <f aca="false">RATE($B$8,$B$7,-$B$11)</f>
        <v>0.0718931408231337</v>
      </c>
      <c r="C22" s="17" t="s">
        <v>178</v>
      </c>
      <c r="D22" s="3" t="s">
        <v>179</v>
      </c>
    </row>
    <row r="23" customFormat="false" ht="15" hidden="false" customHeight="false" outlineLevel="0" collapsed="false">
      <c r="A23" s="8" t="s">
        <v>180</v>
      </c>
      <c r="B23" s="8" t="str">
        <f aca="false">IF($B$11&gt;$B$18,"keep paying annually","pay the lump sum")</f>
        <v>keep paying annually</v>
      </c>
      <c r="C23" s="17" t="s">
        <v>181</v>
      </c>
      <c r="D23" s="3" t="s">
        <v>182</v>
      </c>
    </row>
    <row r="24" customFormat="false" ht="15" hidden="false" customHeight="false" outlineLevel="0" collapsed="false">
      <c r="A24" s="16" t="s">
        <v>183</v>
      </c>
      <c r="B24" s="19" t="n">
        <f aca="false">PMT($B$6,$B$8,-$B$18,0,1)</f>
        <v>9.25925925925927</v>
      </c>
      <c r="C24" s="17" t="s">
        <v>184</v>
      </c>
      <c r="D24" s="3" t="s">
        <v>185</v>
      </c>
    </row>
    <row r="25" customFormat="false" ht="15" hidden="false" customHeight="false" outlineLevel="0" collapsed="false">
      <c r="A25" s="8" t="s">
        <v>186</v>
      </c>
      <c r="B25" s="28" t="n">
        <f aca="false">$B$12/12</f>
        <v>0.006</v>
      </c>
      <c r="C25" s="17" t="s">
        <v>187</v>
      </c>
    </row>
    <row r="26" customFormat="false" ht="15" hidden="false" customHeight="false" outlineLevel="0" collapsed="false">
      <c r="A26" s="16" t="s">
        <v>188</v>
      </c>
      <c r="B26" s="19" t="n">
        <f aca="false">PMT($B$25,12*$B$13,-$B$11)</f>
        <v>1.05427687029182</v>
      </c>
      <c r="C26" s="17" t="s">
        <v>189</v>
      </c>
    </row>
    <row r="27" customFormat="false" ht="15" hidden="false" customHeight="false" outlineLevel="0" collapsed="false">
      <c r="A27" s="16" t="s">
        <v>190</v>
      </c>
      <c r="B27" s="27" t="n">
        <f aca="false">(1+$B$25)^12-1</f>
        <v>0.0744241677219248</v>
      </c>
      <c r="C27" s="17" t="s">
        <v>191</v>
      </c>
      <c r="D27" s="3" t="s">
        <v>192</v>
      </c>
    </row>
    <row r="28" customFormat="false" ht="15" hidden="false" customHeight="false" outlineLevel="0" collapsed="false">
      <c r="A28" s="16" t="s">
        <v>193</v>
      </c>
      <c r="B28" s="19" t="n">
        <f aca="false">PV($B$25,12*($B$13-$B$14),-$B$26)</f>
        <v>69.4030737213581</v>
      </c>
      <c r="C28" s="17" t="s">
        <v>194</v>
      </c>
      <c r="D28" s="3" t="s">
        <v>195</v>
      </c>
    </row>
    <row r="29" customFormat="false" ht="15" hidden="false" customHeight="false" outlineLevel="0" collapsed="false">
      <c r="A29" s="8" t="s">
        <v>196</v>
      </c>
      <c r="B29" s="21" t="n">
        <f aca="false">FV($B$25,12*$B$14,$B$26,-$B$11)</f>
        <v>69.403073721358</v>
      </c>
      <c r="C29" s="17" t="s">
        <v>197</v>
      </c>
      <c r="D29" s="3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6"/>
    <col collapsed="false" customWidth="true" hidden="false" outlineLevel="0" max="4" min="4" style="0" width="6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199</v>
      </c>
    </row>
    <row r="3" customFormat="false" ht="15" hidden="false" customHeight="false" outlineLevel="0" collapsed="false">
      <c r="A3" s="3" t="s">
        <v>152</v>
      </c>
    </row>
    <row r="5" customFormat="false" ht="15" hidden="false" customHeight="false" outlineLevel="0" collapsed="false">
      <c r="A5" s="4" t="s">
        <v>153</v>
      </c>
      <c r="B5" s="5"/>
      <c r="C5" s="5"/>
      <c r="D5" s="5"/>
    </row>
    <row r="6" customFormat="false" ht="15" hidden="false" customHeight="false" outlineLevel="0" collapsed="false">
      <c r="A6" s="8" t="s">
        <v>200</v>
      </c>
      <c r="B6" s="25" t="n">
        <v>0.05</v>
      </c>
    </row>
    <row r="7" customFormat="false" ht="15" hidden="false" customHeight="false" outlineLevel="0" collapsed="false">
      <c r="A7" s="8" t="s">
        <v>201</v>
      </c>
      <c r="B7" s="26" t="n">
        <v>10</v>
      </c>
    </row>
    <row r="8" customFormat="false" ht="15" hidden="false" customHeight="false" outlineLevel="0" collapsed="false">
      <c r="A8" s="8" t="s">
        <v>202</v>
      </c>
      <c r="B8" s="26" t="n">
        <v>2</v>
      </c>
    </row>
    <row r="9" customFormat="false" ht="15" hidden="false" customHeight="false" outlineLevel="0" collapsed="false">
      <c r="A9" s="8" t="s">
        <v>203</v>
      </c>
      <c r="B9" s="25" t="n">
        <v>0.07</v>
      </c>
    </row>
    <row r="10" customFormat="false" ht="15" hidden="false" customHeight="false" outlineLevel="0" collapsed="false">
      <c r="A10" s="8" t="s">
        <v>204</v>
      </c>
      <c r="B10" s="26" t="n">
        <v>400</v>
      </c>
    </row>
    <row r="11" customFormat="false" ht="15" hidden="false" customHeight="false" outlineLevel="0" collapsed="false">
      <c r="A11" s="8" t="s">
        <v>205</v>
      </c>
      <c r="B11" s="26" t="n">
        <v>10</v>
      </c>
    </row>
    <row r="12" customFormat="false" ht="15" hidden="false" customHeight="false" outlineLevel="0" collapsed="false">
      <c r="A12" s="8" t="s">
        <v>206</v>
      </c>
      <c r="B12" s="25" t="n">
        <v>0.075</v>
      </c>
    </row>
    <row r="14" customFormat="false" ht="15" hidden="false" customHeight="false" outlineLevel="0" collapsed="false">
      <c r="A14" s="4" t="s">
        <v>163</v>
      </c>
      <c r="B14" s="5"/>
      <c r="C14" s="5"/>
      <c r="D14" s="5"/>
    </row>
    <row r="15" customFormat="false" ht="15" hidden="false" customHeight="false" outlineLevel="0" collapsed="false">
      <c r="A15" s="6" t="s">
        <v>55</v>
      </c>
      <c r="B15" s="6" t="s">
        <v>56</v>
      </c>
      <c r="C15" s="6" t="s">
        <v>164</v>
      </c>
      <c r="D15" s="6" t="s">
        <v>165</v>
      </c>
    </row>
    <row r="16" customFormat="false" ht="15" hidden="false" customHeight="false" outlineLevel="0" collapsed="false">
      <c r="A16" s="8" t="s">
        <v>207</v>
      </c>
      <c r="B16" s="29" t="n">
        <f aca="false">2*($B$7-$B$8)</f>
        <v>16</v>
      </c>
      <c r="C16" s="17" t="s">
        <v>208</v>
      </c>
    </row>
    <row r="17" customFormat="false" ht="15" hidden="false" customHeight="false" outlineLevel="0" collapsed="false">
      <c r="A17" s="16" t="s">
        <v>209</v>
      </c>
      <c r="B17" s="19" t="n">
        <f aca="false">PV($B$9/2,$B$16,-$B$6*100/2,-100)</f>
        <v>87.9058831918511</v>
      </c>
      <c r="C17" s="17" t="s">
        <v>210</v>
      </c>
      <c r="D17" s="3" t="s">
        <v>211</v>
      </c>
    </row>
    <row r="18" customFormat="false" ht="15" hidden="false" customHeight="false" outlineLevel="0" collapsed="false">
      <c r="A18" s="16" t="s">
        <v>212</v>
      </c>
      <c r="B18" s="27" t="n">
        <f aca="false">(1+$B$9/2)^2-1</f>
        <v>0.0712249999999999</v>
      </c>
      <c r="C18" s="17" t="s">
        <v>213</v>
      </c>
    </row>
    <row r="19" customFormat="false" ht="15" hidden="false" customHeight="false" outlineLevel="0" collapsed="false">
      <c r="A19" s="16" t="s">
        <v>214</v>
      </c>
      <c r="B19" s="19" t="n">
        <f aca="false">$B$10*$B$17/100</f>
        <v>351.623532767404</v>
      </c>
      <c r="C19" s="17" t="s">
        <v>215</v>
      </c>
    </row>
    <row r="20" customFormat="false" ht="15" hidden="false" customHeight="false" outlineLevel="0" collapsed="false">
      <c r="A20" s="16" t="s">
        <v>216</v>
      </c>
      <c r="B20" s="27" t="n">
        <f aca="false">2*PMT($B$9/2,2*$B$11,-$B$17,100)/100</f>
        <v>0.0529808983727789</v>
      </c>
      <c r="C20" s="17" t="s">
        <v>217</v>
      </c>
      <c r="D20" s="3" t="s">
        <v>218</v>
      </c>
    </row>
    <row r="22" customFormat="false" ht="15" hidden="false" customHeight="false" outlineLevel="0" collapsed="false">
      <c r="A22" s="4" t="s">
        <v>219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6" t="s">
        <v>220</v>
      </c>
      <c r="B23" s="6" t="s">
        <v>221</v>
      </c>
      <c r="C23" s="6" t="s">
        <v>222</v>
      </c>
      <c r="D23" s="6" t="s">
        <v>223</v>
      </c>
      <c r="E23" s="6" t="s">
        <v>224</v>
      </c>
    </row>
    <row r="24" customFormat="false" ht="15" hidden="false" customHeight="false" outlineLevel="0" collapsed="false">
      <c r="A24" s="0" t="n">
        <v>1</v>
      </c>
      <c r="B24" s="30" t="n">
        <f aca="false">A24/2</f>
        <v>0.5</v>
      </c>
      <c r="C24" s="30" t="n">
        <f aca="false">$B$6*100/2+IF(A24=$B$16,100,0)</f>
        <v>2.5</v>
      </c>
      <c r="D24" s="31" t="n">
        <f aca="false">C24/(1+$B$9/2)^A24</f>
        <v>2.41545893719807</v>
      </c>
      <c r="E24" s="31" t="n">
        <f aca="false">B24*D24</f>
        <v>1.20772946859903</v>
      </c>
    </row>
    <row r="25" customFormat="false" ht="15" hidden="false" customHeight="false" outlineLevel="0" collapsed="false">
      <c r="A25" s="0" t="n">
        <v>2</v>
      </c>
      <c r="B25" s="30" t="n">
        <f aca="false">A25/2</f>
        <v>1</v>
      </c>
      <c r="C25" s="30" t="n">
        <f aca="false">$B$6*100/2+IF(A25=$B$16,100,0)</f>
        <v>2.5</v>
      </c>
      <c r="D25" s="31" t="n">
        <f aca="false">C25/(1+$B$9/2)^A25</f>
        <v>2.33377675091601</v>
      </c>
      <c r="E25" s="31" t="n">
        <f aca="false">B25*D25</f>
        <v>2.33377675091601</v>
      </c>
    </row>
    <row r="26" customFormat="false" ht="15" hidden="false" customHeight="false" outlineLevel="0" collapsed="false">
      <c r="A26" s="0" t="n">
        <v>3</v>
      </c>
      <c r="B26" s="30" t="n">
        <f aca="false">A26/2</f>
        <v>1.5</v>
      </c>
      <c r="C26" s="30" t="n">
        <f aca="false">$B$6*100/2+IF(A26=$B$16,100,0)</f>
        <v>2.5</v>
      </c>
      <c r="D26" s="31" t="n">
        <f aca="false">C26/(1+$B$9/2)^A26</f>
        <v>2.25485676417006</v>
      </c>
      <c r="E26" s="31" t="n">
        <f aca="false">B26*D26</f>
        <v>3.38228514625508</v>
      </c>
    </row>
    <row r="27" customFormat="false" ht="15" hidden="false" customHeight="false" outlineLevel="0" collapsed="false">
      <c r="A27" s="0" t="n">
        <v>4</v>
      </c>
      <c r="B27" s="30" t="n">
        <f aca="false">A27/2</f>
        <v>2</v>
      </c>
      <c r="C27" s="30" t="n">
        <f aca="false">$B$6*100/2+IF(A27=$B$16,100,0)</f>
        <v>2.5</v>
      </c>
      <c r="D27" s="31" t="n">
        <f aca="false">C27/(1+$B$9/2)^A27</f>
        <v>2.17860556924643</v>
      </c>
      <c r="E27" s="31" t="n">
        <f aca="false">B27*D27</f>
        <v>4.35721113849286</v>
      </c>
    </row>
    <row r="28" customFormat="false" ht="15" hidden="false" customHeight="false" outlineLevel="0" collapsed="false">
      <c r="A28" s="0" t="n">
        <v>5</v>
      </c>
      <c r="B28" s="30" t="n">
        <f aca="false">A28/2</f>
        <v>2.5</v>
      </c>
      <c r="C28" s="30" t="n">
        <f aca="false">$B$6*100/2+IF(A28=$B$16,100,0)</f>
        <v>2.5</v>
      </c>
      <c r="D28" s="31" t="n">
        <f aca="false">C28/(1+$B$9/2)^A28</f>
        <v>2.10493291714631</v>
      </c>
      <c r="E28" s="31" t="n">
        <f aca="false">B28*D28</f>
        <v>5.26233229286578</v>
      </c>
    </row>
    <row r="29" customFormat="false" ht="15" hidden="false" customHeight="false" outlineLevel="0" collapsed="false">
      <c r="A29" s="0" t="n">
        <v>6</v>
      </c>
      <c r="B29" s="30" t="n">
        <f aca="false">A29/2</f>
        <v>3</v>
      </c>
      <c r="C29" s="30" t="n">
        <f aca="false">$B$6*100/2+IF(A29=$B$16,100,0)</f>
        <v>2.5</v>
      </c>
      <c r="D29" s="31" t="n">
        <f aca="false">C29/(1+$B$9/2)^A29</f>
        <v>2.03375161076938</v>
      </c>
      <c r="E29" s="31" t="n">
        <f aca="false">B29*D29</f>
        <v>6.10125483230815</v>
      </c>
    </row>
    <row r="30" customFormat="false" ht="15" hidden="false" customHeight="false" outlineLevel="0" collapsed="false">
      <c r="A30" s="0" t="n">
        <v>7</v>
      </c>
      <c r="B30" s="30" t="n">
        <f aca="false">A30/2</f>
        <v>3.5</v>
      </c>
      <c r="C30" s="30" t="n">
        <f aca="false">$B$6*100/2+IF(A30=$B$16,100,0)</f>
        <v>2.5</v>
      </c>
      <c r="D30" s="31" t="n">
        <f aca="false">C30/(1+$B$9/2)^A30</f>
        <v>1.96497740170955</v>
      </c>
      <c r="E30" s="31" t="n">
        <f aca="false">B30*D30</f>
        <v>6.87742090598342</v>
      </c>
    </row>
    <row r="31" customFormat="false" ht="15" hidden="false" customHeight="false" outlineLevel="0" collapsed="false">
      <c r="A31" s="0" t="n">
        <v>8</v>
      </c>
      <c r="B31" s="30" t="n">
        <f aca="false">A31/2</f>
        <v>4</v>
      </c>
      <c r="C31" s="30" t="n">
        <f aca="false">$B$6*100/2+IF(A31=$B$16,100,0)</f>
        <v>2.5</v>
      </c>
      <c r="D31" s="31" t="n">
        <f aca="false">C31/(1+$B$9/2)^A31</f>
        <v>1.89852889054063</v>
      </c>
      <c r="E31" s="31" t="n">
        <f aca="false">B31*D31</f>
        <v>7.59411556216251</v>
      </c>
    </row>
    <row r="32" customFormat="false" ht="15" hidden="false" customHeight="false" outlineLevel="0" collapsed="false">
      <c r="A32" s="0" t="n">
        <v>9</v>
      </c>
      <c r="B32" s="30" t="n">
        <f aca="false">A32/2</f>
        <v>4.5</v>
      </c>
      <c r="C32" s="30" t="n">
        <f aca="false">$B$6*100/2+IF(A32=$B$16,100,0)</f>
        <v>2.5</v>
      </c>
      <c r="D32" s="31" t="n">
        <f aca="false">C32/(1+$B$9/2)^A32</f>
        <v>1.83432743047404</v>
      </c>
      <c r="E32" s="31" t="n">
        <f aca="false">B32*D32</f>
        <v>8.25447343713316</v>
      </c>
    </row>
    <row r="33" customFormat="false" ht="15" hidden="false" customHeight="false" outlineLevel="0" collapsed="false">
      <c r="A33" s="0" t="n">
        <v>10</v>
      </c>
      <c r="B33" s="30" t="n">
        <f aca="false">A33/2</f>
        <v>5</v>
      </c>
      <c r="C33" s="30" t="n">
        <f aca="false">$B$6*100/2+IF(A33=$B$16,100,0)</f>
        <v>2.5</v>
      </c>
      <c r="D33" s="31" t="n">
        <f aca="false">C33/(1+$B$9/2)^A33</f>
        <v>1.77229703427443</v>
      </c>
      <c r="E33" s="31" t="n">
        <f aca="false">B33*D33</f>
        <v>8.86148517137215</v>
      </c>
    </row>
    <row r="34" customFormat="false" ht="15" hidden="false" customHeight="false" outlineLevel="0" collapsed="false">
      <c r="A34" s="0" t="n">
        <v>11</v>
      </c>
      <c r="B34" s="30" t="n">
        <f aca="false">A34/2</f>
        <v>5.5</v>
      </c>
      <c r="C34" s="30" t="n">
        <f aca="false">$B$6*100/2+IF(A34=$B$16,100,0)</f>
        <v>2.5</v>
      </c>
      <c r="D34" s="31" t="n">
        <f aca="false">C34/(1+$B$9/2)^A34</f>
        <v>1.71236428432312</v>
      </c>
      <c r="E34" s="31" t="n">
        <f aca="false">B34*D34</f>
        <v>9.41800356377717</v>
      </c>
    </row>
    <row r="35" customFormat="false" ht="15" hidden="false" customHeight="false" outlineLevel="0" collapsed="false">
      <c r="A35" s="0" t="n">
        <v>12</v>
      </c>
      <c r="B35" s="30" t="n">
        <f aca="false">A35/2</f>
        <v>6</v>
      </c>
      <c r="C35" s="30" t="n">
        <f aca="false">$B$6*100/2+IF(A35=$B$16,100,0)</f>
        <v>2.5</v>
      </c>
      <c r="D35" s="31" t="n">
        <f aca="false">C35/(1+$B$9/2)^A35</f>
        <v>1.65445824572282</v>
      </c>
      <c r="E35" s="31" t="n">
        <f aca="false">B35*D35</f>
        <v>9.92674947433694</v>
      </c>
    </row>
    <row r="36" customFormat="false" ht="15" hidden="false" customHeight="false" outlineLevel="0" collapsed="false">
      <c r="A36" s="0" t="n">
        <v>13</v>
      </c>
      <c r="B36" s="30" t="n">
        <f aca="false">A36/2</f>
        <v>6.5</v>
      </c>
      <c r="C36" s="30" t="n">
        <f aca="false">$B$6*100/2+IF(A36=$B$16,100,0)</f>
        <v>2.5</v>
      </c>
      <c r="D36" s="31" t="n">
        <f aca="false">C36/(1+$B$9/2)^A36</f>
        <v>1.59851038234089</v>
      </c>
      <c r="E36" s="31" t="n">
        <f aca="false">B36*D36</f>
        <v>10.3903174852158</v>
      </c>
    </row>
    <row r="37" customFormat="false" ht="15" hidden="false" customHeight="false" outlineLevel="0" collapsed="false">
      <c r="A37" s="0" t="n">
        <v>14</v>
      </c>
      <c r="B37" s="30" t="n">
        <f aca="false">A37/2</f>
        <v>7</v>
      </c>
      <c r="C37" s="30" t="n">
        <f aca="false">$B$6*100/2+IF(A37=$B$16,100,0)</f>
        <v>2.5</v>
      </c>
      <c r="D37" s="31" t="n">
        <f aca="false">C37/(1+$B$9/2)^A37</f>
        <v>1.54445447569168</v>
      </c>
      <c r="E37" s="31" t="n">
        <f aca="false">B37*D37</f>
        <v>10.8111813298418</v>
      </c>
    </row>
    <row r="38" customFormat="false" ht="15" hidden="false" customHeight="false" outlineLevel="0" collapsed="false">
      <c r="A38" s="0" t="n">
        <v>15</v>
      </c>
      <c r="B38" s="30" t="n">
        <f aca="false">A38/2</f>
        <v>7.5</v>
      </c>
      <c r="C38" s="30" t="n">
        <f aca="false">$B$6*100/2+IF(A38=$B$16,100,0)</f>
        <v>2.5</v>
      </c>
      <c r="D38" s="31" t="n">
        <f aca="false">C38/(1+$B$9/2)^A38</f>
        <v>1.49222654656201</v>
      </c>
      <c r="E38" s="31" t="n">
        <f aca="false">B38*D38</f>
        <v>11.1916990992151</v>
      </c>
    </row>
    <row r="39" customFormat="false" ht="15" hidden="false" customHeight="false" outlineLevel="0" collapsed="false">
      <c r="A39" s="0" t="n">
        <v>16</v>
      </c>
      <c r="B39" s="30" t="n">
        <f aca="false">A39/2</f>
        <v>8</v>
      </c>
      <c r="C39" s="30" t="n">
        <f aca="false">$B$6*100/2+IF(A39=$B$16,100,0)</f>
        <v>102.5</v>
      </c>
      <c r="D39" s="31" t="n">
        <f aca="false">C39/(1+$B$9/2)^A39</f>
        <v>59.1123559507657</v>
      </c>
      <c r="E39" s="31" t="n">
        <f aca="false">B39*D39</f>
        <v>472.898847606126</v>
      </c>
    </row>
    <row r="40" customFormat="false" ht="15" hidden="false" customHeight="false" outlineLevel="0" collapsed="false">
      <c r="A40" s="6" t="s">
        <v>55</v>
      </c>
      <c r="B40" s="6" t="s">
        <v>56</v>
      </c>
      <c r="C40" s="6" t="s">
        <v>164</v>
      </c>
      <c r="D40" s="6" t="s">
        <v>165</v>
      </c>
    </row>
    <row r="41" customFormat="false" ht="15" hidden="false" customHeight="false" outlineLevel="0" collapsed="false">
      <c r="A41" s="8" t="s">
        <v>225</v>
      </c>
      <c r="B41" s="21" t="n">
        <f aca="false">SUM(D24:D39)</f>
        <v>87.9058831918511</v>
      </c>
      <c r="C41" s="17" t="s">
        <v>226</v>
      </c>
    </row>
    <row r="42" customFormat="false" ht="15" hidden="false" customHeight="false" outlineLevel="0" collapsed="false">
      <c r="A42" s="16" t="s">
        <v>227</v>
      </c>
      <c r="B42" s="19" t="n">
        <f aca="false">SUM(E24:E39)/SUM(D24:D39)</f>
        <v>6.58509831476515</v>
      </c>
      <c r="C42" s="17" t="s">
        <v>228</v>
      </c>
    </row>
    <row r="43" customFormat="false" ht="15" hidden="false" customHeight="false" outlineLevel="0" collapsed="false">
      <c r="A43" s="16" t="s">
        <v>229</v>
      </c>
      <c r="B43" s="19" t="n">
        <f aca="false">$B$42/(1+$B$9/2)</f>
        <v>6.36241383069096</v>
      </c>
      <c r="C43" s="17" t="s">
        <v>230</v>
      </c>
    </row>
    <row r="44" customFormat="false" ht="15" hidden="false" customHeight="false" outlineLevel="0" collapsed="false">
      <c r="A44" s="8" t="s">
        <v>231</v>
      </c>
      <c r="B44" s="21" t="n">
        <f aca="false">DURATION(DATE(2026,1,1),DATE(2026+$B$16/2,1,1),$B$6,$B$9,2)</f>
        <v>6.58509831476514</v>
      </c>
      <c r="C44" s="17" t="s">
        <v>232</v>
      </c>
      <c r="D44" s="3" t="s">
        <v>233</v>
      </c>
    </row>
    <row r="45" customFormat="false" ht="15" hidden="false" customHeight="false" outlineLevel="0" collapsed="false">
      <c r="A45" s="16" t="s">
        <v>234</v>
      </c>
      <c r="B45" s="27" t="n">
        <f aca="false">-$B$43*($B$12-$B$9)</f>
        <v>-0.0318120691534548</v>
      </c>
      <c r="C45" s="17" t="s">
        <v>235</v>
      </c>
    </row>
    <row r="46" customFormat="false" ht="15" hidden="false" customHeight="false" outlineLevel="0" collapsed="false">
      <c r="A46" s="16" t="s">
        <v>236</v>
      </c>
      <c r="B46" s="19" t="n">
        <f aca="false">PV($B$12/2,$B$16,-$B$6*100/2,-100)</f>
        <v>85.1622936961189</v>
      </c>
      <c r="C46" s="17" t="s">
        <v>237</v>
      </c>
    </row>
    <row r="47" customFormat="false" ht="15" hidden="false" customHeight="false" outlineLevel="0" collapsed="false">
      <c r="A47" s="16" t="s">
        <v>238</v>
      </c>
      <c r="B47" s="27" t="n">
        <f aca="false">$B$46/$B$17-1</f>
        <v>-0.0312105333125926</v>
      </c>
      <c r="C47" s="17" t="s">
        <v>239</v>
      </c>
      <c r="D47" s="3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241</v>
      </c>
    </row>
    <row r="3" customFormat="false" ht="15" hidden="false" customHeight="false" outlineLevel="0" collapsed="false">
      <c r="A3" s="3" t="s">
        <v>152</v>
      </c>
    </row>
    <row r="5" customFormat="false" ht="15" hidden="false" customHeight="false" outlineLevel="0" collapsed="false">
      <c r="A5" s="4" t="s">
        <v>153</v>
      </c>
      <c r="B5" s="5"/>
      <c r="C5" s="5"/>
      <c r="D5" s="5"/>
    </row>
    <row r="6" customFormat="false" ht="15" hidden="false" customHeight="false" outlineLevel="0" collapsed="false">
      <c r="A6" s="8" t="s">
        <v>242</v>
      </c>
      <c r="B6" s="32" t="n">
        <v>46308</v>
      </c>
    </row>
    <row r="7" customFormat="false" ht="15" hidden="false" customHeight="false" outlineLevel="0" collapsed="false">
      <c r="A7" s="8" t="s">
        <v>243</v>
      </c>
      <c r="B7" s="26" t="n">
        <v>2</v>
      </c>
    </row>
    <row r="8" customFormat="false" ht="15" hidden="false" customHeight="false" outlineLevel="0" collapsed="false">
      <c r="A8" s="8" t="s">
        <v>244</v>
      </c>
      <c r="B8" s="32" t="n">
        <v>49902</v>
      </c>
    </row>
    <row r="9" customFormat="false" ht="15" hidden="false" customHeight="false" outlineLevel="0" collapsed="false">
      <c r="A9" s="8" t="s">
        <v>245</v>
      </c>
      <c r="B9" s="25" t="n">
        <v>0.045</v>
      </c>
    </row>
    <row r="10" customFormat="false" ht="15" hidden="false" customHeight="false" outlineLevel="0" collapsed="false">
      <c r="A10" s="8" t="s">
        <v>246</v>
      </c>
      <c r="B10" s="33" t="n">
        <v>101.25</v>
      </c>
    </row>
    <row r="11" customFormat="false" ht="15" hidden="false" customHeight="false" outlineLevel="0" collapsed="false">
      <c r="A11" s="8" t="s">
        <v>247</v>
      </c>
      <c r="B11" s="26" t="n">
        <v>1</v>
      </c>
    </row>
    <row r="12" customFormat="false" ht="15" hidden="false" customHeight="false" outlineLevel="0" collapsed="false">
      <c r="A12" s="8" t="s">
        <v>248</v>
      </c>
      <c r="B12" s="32" t="n">
        <v>49994</v>
      </c>
    </row>
    <row r="13" customFormat="false" ht="15" hidden="false" customHeight="false" outlineLevel="0" collapsed="false">
      <c r="A13" s="8" t="s">
        <v>249</v>
      </c>
      <c r="B13" s="25" t="n">
        <v>0.0625</v>
      </c>
    </row>
    <row r="14" customFormat="false" ht="15" hidden="false" customHeight="false" outlineLevel="0" collapsed="false">
      <c r="A14" s="8" t="s">
        <v>250</v>
      </c>
      <c r="B14" s="26" t="n">
        <v>0</v>
      </c>
    </row>
    <row r="15" customFormat="false" ht="15" hidden="false" customHeight="false" outlineLevel="0" collapsed="false">
      <c r="A15" s="8" t="s">
        <v>251</v>
      </c>
      <c r="B15" s="25" t="n">
        <v>0.015</v>
      </c>
      <c r="C15" s="3" t="s">
        <v>252</v>
      </c>
    </row>
    <row r="16" customFormat="false" ht="15" hidden="false" customHeight="false" outlineLevel="0" collapsed="false">
      <c r="A16" s="8" t="s">
        <v>253</v>
      </c>
      <c r="B16" s="25" t="n">
        <v>-0.005</v>
      </c>
      <c r="C16" s="3" t="s">
        <v>254</v>
      </c>
    </row>
    <row r="17" customFormat="false" ht="15" hidden="false" customHeight="false" outlineLevel="0" collapsed="false">
      <c r="A17" s="8" t="s">
        <v>255</v>
      </c>
      <c r="B17" s="26" t="n">
        <v>250</v>
      </c>
    </row>
    <row r="18" customFormat="false" ht="15" hidden="false" customHeight="false" outlineLevel="0" collapsed="false">
      <c r="A18" s="8" t="s">
        <v>256</v>
      </c>
      <c r="B18" s="25" t="n">
        <v>0.05</v>
      </c>
    </row>
    <row r="20" customFormat="false" ht="15" hidden="false" customHeight="false" outlineLevel="0" collapsed="false">
      <c r="A20" s="4" t="s">
        <v>163</v>
      </c>
      <c r="B20" s="5"/>
      <c r="C20" s="5"/>
      <c r="D20" s="5"/>
    </row>
    <row r="21" customFormat="false" ht="15" hidden="false" customHeight="false" outlineLevel="0" collapsed="false">
      <c r="A21" s="6" t="s">
        <v>55</v>
      </c>
      <c r="B21" s="6" t="s">
        <v>56</v>
      </c>
      <c r="C21" s="6" t="s">
        <v>164</v>
      </c>
      <c r="D21" s="6" t="s">
        <v>165</v>
      </c>
    </row>
    <row r="22" customFormat="false" ht="15" hidden="false" customHeight="false" outlineLevel="0" collapsed="false">
      <c r="A22" s="16" t="s">
        <v>257</v>
      </c>
      <c r="B22" s="27" t="n">
        <f aca="false">YIELD($B$6,$B$8,$B$9,$B$10,100,$B$7,$B$11)</f>
        <v>0.0434188444337922</v>
      </c>
      <c r="C22" s="17" t="s">
        <v>258</v>
      </c>
    </row>
    <row r="23" customFormat="false" ht="15" hidden="false" customHeight="false" outlineLevel="0" collapsed="false">
      <c r="A23" s="16" t="s">
        <v>259</v>
      </c>
      <c r="B23" s="27" t="n">
        <f aca="false">$B$22+$B$15</f>
        <v>0.0584188444337922</v>
      </c>
      <c r="C23" s="17" t="s">
        <v>260</v>
      </c>
    </row>
    <row r="24" customFormat="false" ht="15" hidden="false" customHeight="false" outlineLevel="0" collapsed="false">
      <c r="A24" s="16" t="s">
        <v>261</v>
      </c>
      <c r="B24" s="19" t="n">
        <f aca="false">PRICE($B$6,$B$12,$B$13,$B$23,100,$B$7,$B$14)</f>
        <v>103.071630751482</v>
      </c>
      <c r="C24" s="17" t="s">
        <v>262</v>
      </c>
    </row>
    <row r="25" customFormat="false" ht="15" hidden="false" customHeight="false" outlineLevel="0" collapsed="false">
      <c r="A25" s="16" t="s">
        <v>263</v>
      </c>
      <c r="B25" s="34" t="n">
        <f aca="false">COUPDAYBS($B$6,$B$12,$B$7,$B$14)</f>
        <v>148</v>
      </c>
      <c r="C25" s="17" t="s">
        <v>264</v>
      </c>
      <c r="D25" s="3" t="s">
        <v>265</v>
      </c>
    </row>
    <row r="26" customFormat="false" ht="15" hidden="false" customHeight="false" outlineLevel="0" collapsed="false">
      <c r="A26" s="16" t="s">
        <v>266</v>
      </c>
      <c r="B26" s="34" t="n">
        <f aca="false">COUPDAYS($B$6,$B$12,$B$7,$B$14)</f>
        <v>180</v>
      </c>
      <c r="C26" s="17" t="s">
        <v>267</v>
      </c>
    </row>
    <row r="27" customFormat="false" ht="15" hidden="false" customHeight="false" outlineLevel="0" collapsed="false">
      <c r="A27" s="16" t="s">
        <v>268</v>
      </c>
      <c r="B27" s="19" t="n">
        <f aca="false">$B$13*100/$B$7*$B$25/$B$26</f>
        <v>2.56944444444444</v>
      </c>
      <c r="C27" s="17" t="s">
        <v>269</v>
      </c>
    </row>
    <row r="28" customFormat="false" ht="15" hidden="false" customHeight="false" outlineLevel="0" collapsed="false">
      <c r="A28" s="16" t="s">
        <v>270</v>
      </c>
      <c r="B28" s="19" t="n">
        <f aca="false">$B$24</f>
        <v>103.071630751482</v>
      </c>
      <c r="C28" s="17" t="s">
        <v>271</v>
      </c>
    </row>
    <row r="29" customFormat="false" ht="15" hidden="false" customHeight="false" outlineLevel="0" collapsed="false">
      <c r="A29" s="16" t="s">
        <v>272</v>
      </c>
      <c r="B29" s="19" t="n">
        <f aca="false">$B$24+$B$27</f>
        <v>105.641075195926</v>
      </c>
      <c r="C29" s="17" t="s">
        <v>273</v>
      </c>
    </row>
    <row r="30" customFormat="false" ht="15" hidden="false" customHeight="false" outlineLevel="0" collapsed="false">
      <c r="A30" s="16" t="s">
        <v>274</v>
      </c>
      <c r="B30" s="19" t="n">
        <f aca="false">DURATION($B$6,$B$12,$B$13,$B$23,$B$7,$B$14)</f>
        <v>7.48956830085047</v>
      </c>
      <c r="C30" s="17" t="s">
        <v>275</v>
      </c>
    </row>
    <row r="31" customFormat="false" ht="15" hidden="false" customHeight="false" outlineLevel="0" collapsed="false">
      <c r="A31" s="16" t="s">
        <v>276</v>
      </c>
      <c r="B31" s="19" t="n">
        <f aca="false">MDURATION($B$6,$B$12,$B$13,$B$23,$B$7,$B$14)</f>
        <v>7.27701101367503</v>
      </c>
      <c r="C31" s="17" t="s">
        <v>277</v>
      </c>
    </row>
    <row r="32" customFormat="false" ht="15" hidden="false" customHeight="false" outlineLevel="0" collapsed="false">
      <c r="A32" s="16" t="s">
        <v>278</v>
      </c>
      <c r="B32" s="27" t="n">
        <f aca="false">-$B$31*$B$16</f>
        <v>0.0363850550683752</v>
      </c>
      <c r="C32" s="17" t="s">
        <v>279</v>
      </c>
      <c r="D32" s="3" t="s">
        <v>280</v>
      </c>
    </row>
    <row r="33" customFormat="false" ht="15" hidden="false" customHeight="false" outlineLevel="0" collapsed="false">
      <c r="A33" s="16" t="s">
        <v>281</v>
      </c>
      <c r="B33" s="27" t="n">
        <f aca="false">(PRICE($B$6,$B$12,$B$13,$B$23+$B$16,100,$B$7,$B$14)+$B$27)/$B$29-1</f>
        <v>0.0372455092440196</v>
      </c>
      <c r="C33" s="17" t="s">
        <v>282</v>
      </c>
      <c r="D33" s="3" t="s">
        <v>283</v>
      </c>
    </row>
    <row r="34" customFormat="false" ht="15" hidden="false" customHeight="false" outlineLevel="0" collapsed="false">
      <c r="A34" s="16" t="s">
        <v>284</v>
      </c>
      <c r="B34" s="27" t="n">
        <f aca="false">$B$23</f>
        <v>0.0584188444337922</v>
      </c>
      <c r="C34" s="17" t="s">
        <v>285</v>
      </c>
      <c r="D34" s="3" t="s">
        <v>286</v>
      </c>
    </row>
    <row r="35" customFormat="false" ht="15" hidden="false" customHeight="false" outlineLevel="0" collapsed="false">
      <c r="A35" s="8" t="s">
        <v>287</v>
      </c>
      <c r="B35" s="21" t="n">
        <f aca="false">PV($B$23/2,20,-$B$18*100/2,-100)</f>
        <v>93.6914216777546</v>
      </c>
      <c r="C35" s="17" t="s">
        <v>288</v>
      </c>
      <c r="D35" s="3" t="s">
        <v>289</v>
      </c>
    </row>
    <row r="36" customFormat="false" ht="15" hidden="false" customHeight="false" outlineLevel="0" collapsed="false">
      <c r="A36" s="16" t="s">
        <v>290</v>
      </c>
      <c r="B36" s="19" t="n">
        <f aca="false">$B$17/($B$35/100)</f>
        <v>266.833393626856</v>
      </c>
      <c r="C36" s="17" t="s">
        <v>291</v>
      </c>
      <c r="D36" s="3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2026-10-11T00:55:57Z</dcterms:created>
  <dc:creator>openpyxl</dc:creator>
  <dc:description/>
  <dc:language>en-US</dc:language>
  <cp:lastModifiedBy/>
  <dcterms:modified xsi:type="dcterms:W3CDTF">2026-10-11T00:55:57Z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